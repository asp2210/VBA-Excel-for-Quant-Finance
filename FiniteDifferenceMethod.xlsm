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8_{3F1882A5-4CDA-498F-BABF-60C118D36C92}" xr6:coauthVersionLast="45" xr6:coauthVersionMax="45" xr10:uidLastSave="{00000000-0000-0000-0000-000000000000}"/>
  <bookViews>
    <workbookView xWindow="4313" yWindow="952" windowWidth="15989" windowHeight="144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6" i="1" l="1"/>
  <c r="H45" i="1"/>
  <c r="AE3" i="1" l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" i="1"/>
  <c r="A43" i="1" l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</calcChain>
</file>

<file path=xl/sharedStrings.xml><?xml version="1.0" encoding="utf-8"?>
<sst xmlns="http://schemas.openxmlformats.org/spreadsheetml/2006/main" count="29" uniqueCount="28">
  <si>
    <t>Spot</t>
  </si>
  <si>
    <t>r</t>
  </si>
  <si>
    <t>rf</t>
  </si>
  <si>
    <t>vol</t>
  </si>
  <si>
    <t>callorput</t>
  </si>
  <si>
    <t>call</t>
  </si>
  <si>
    <t>strike</t>
  </si>
  <si>
    <t>time to expiration(in days)</t>
  </si>
  <si>
    <t>m</t>
  </si>
  <si>
    <t>γmax</t>
  </si>
  <si>
    <t>x0</t>
  </si>
  <si>
    <t>x20</t>
  </si>
  <si>
    <t>∆x</t>
  </si>
  <si>
    <t>Smin</t>
  </si>
  <si>
    <t>Smax</t>
  </si>
  <si>
    <t xml:space="preserve">Theta </t>
  </si>
  <si>
    <t>lambda</t>
  </si>
  <si>
    <t>tau values</t>
  </si>
  <si>
    <t>x values</t>
  </si>
  <si>
    <t>x index</t>
  </si>
  <si>
    <t>BS Theoretical</t>
  </si>
  <si>
    <t>PDE Value</t>
  </si>
  <si>
    <t>t values</t>
  </si>
  <si>
    <t>S values</t>
  </si>
  <si>
    <t>S index</t>
  </si>
  <si>
    <t>t index</t>
  </si>
  <si>
    <t>Theta</t>
  </si>
  <si>
    <t>PDE Discrepancy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</si>
</sst>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0" borderId="0" xfId="0" applyNumberFormat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Sheet1!$A$41:$A$141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-0.57999999999999963</c:v>
                </c:pt>
                <c:pt idx="22">
                  <c:v>-0.55999999999999961</c:v>
                </c:pt>
                <c:pt idx="23">
                  <c:v>-0.53999999999999959</c:v>
                </c:pt>
                <c:pt idx="24">
                  <c:v>-0.51999999999999957</c:v>
                </c:pt>
                <c:pt idx="25">
                  <c:v>-0.49999999999999956</c:v>
                </c:pt>
                <c:pt idx="26">
                  <c:v>-0.47999999999999954</c:v>
                </c:pt>
                <c:pt idx="27">
                  <c:v>-0.45999999999999952</c:v>
                </c:pt>
                <c:pt idx="28">
                  <c:v>-0.4399999999999995</c:v>
                </c:pt>
                <c:pt idx="29">
                  <c:v>-0.41999999999999948</c:v>
                </c:pt>
                <c:pt idx="30">
                  <c:v>-0.39999999999999947</c:v>
                </c:pt>
                <c:pt idx="31">
                  <c:v>-0.37999999999999945</c:v>
                </c:pt>
                <c:pt idx="32">
                  <c:v>-0.35999999999999943</c:v>
                </c:pt>
                <c:pt idx="33">
                  <c:v>-0.33999999999999941</c:v>
                </c:pt>
                <c:pt idx="34">
                  <c:v>-0.3199999999999994</c:v>
                </c:pt>
                <c:pt idx="35">
                  <c:v>-0.29999999999999938</c:v>
                </c:pt>
                <c:pt idx="36">
                  <c:v>-0.27999999999999936</c:v>
                </c:pt>
                <c:pt idx="37">
                  <c:v>-0.25999999999999934</c:v>
                </c:pt>
                <c:pt idx="38">
                  <c:v>-0.23999999999999935</c:v>
                </c:pt>
                <c:pt idx="39">
                  <c:v>-0.21999999999999936</c:v>
                </c:pt>
                <c:pt idx="40">
                  <c:v>-0.19999999999999937</c:v>
                </c:pt>
                <c:pt idx="41">
                  <c:v>-0.17999999999999938</c:v>
                </c:pt>
                <c:pt idx="42">
                  <c:v>-0.15999999999999939</c:v>
                </c:pt>
                <c:pt idx="43">
                  <c:v>-0.1399999999999994</c:v>
                </c:pt>
                <c:pt idx="44">
                  <c:v>-0.1199999999999994</c:v>
                </c:pt>
                <c:pt idx="45">
                  <c:v>-9.9999999999999395E-2</c:v>
                </c:pt>
                <c:pt idx="46">
                  <c:v>-7.9999999999999391E-2</c:v>
                </c:pt>
                <c:pt idx="47">
                  <c:v>-5.9999999999999387E-2</c:v>
                </c:pt>
                <c:pt idx="48">
                  <c:v>-3.9999999999999383E-2</c:v>
                </c:pt>
                <c:pt idx="49">
                  <c:v>-1.9999999999999383E-2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0.12000000000000001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0.19999999999999998</c:v>
                </c:pt>
                <c:pt idx="61">
                  <c:v>0.21999999999999997</c:v>
                </c:pt>
                <c:pt idx="62">
                  <c:v>0.23999999999999996</c:v>
                </c:pt>
                <c:pt idx="63">
                  <c:v>0.25999999999999995</c:v>
                </c:pt>
                <c:pt idx="64">
                  <c:v>0.27999999999999997</c:v>
                </c:pt>
                <c:pt idx="65">
                  <c:v>0.3</c:v>
                </c:pt>
                <c:pt idx="66">
                  <c:v>0.32</c:v>
                </c:pt>
                <c:pt idx="67">
                  <c:v>0.34</c:v>
                </c:pt>
                <c:pt idx="68">
                  <c:v>0.36000000000000004</c:v>
                </c:pt>
                <c:pt idx="69">
                  <c:v>0.38000000000000006</c:v>
                </c:pt>
                <c:pt idx="70">
                  <c:v>0.40000000000000008</c:v>
                </c:pt>
                <c:pt idx="71">
                  <c:v>0.4200000000000001</c:v>
                </c:pt>
                <c:pt idx="72">
                  <c:v>0.44000000000000011</c:v>
                </c:pt>
                <c:pt idx="73">
                  <c:v>0.46000000000000013</c:v>
                </c:pt>
                <c:pt idx="74">
                  <c:v>0.48000000000000015</c:v>
                </c:pt>
                <c:pt idx="75">
                  <c:v>0.50000000000000011</c:v>
                </c:pt>
                <c:pt idx="76">
                  <c:v>0.52000000000000013</c:v>
                </c:pt>
                <c:pt idx="77">
                  <c:v>0.54000000000000015</c:v>
                </c:pt>
                <c:pt idx="78">
                  <c:v>0.56000000000000016</c:v>
                </c:pt>
                <c:pt idx="79">
                  <c:v>0.58000000000000018</c:v>
                </c:pt>
                <c:pt idx="80">
                  <c:v>0.6000000000000002</c:v>
                </c:pt>
                <c:pt idx="81">
                  <c:v>0.62000000000000022</c:v>
                </c:pt>
                <c:pt idx="82">
                  <c:v>0.64000000000000024</c:v>
                </c:pt>
                <c:pt idx="83">
                  <c:v>0.66000000000000025</c:v>
                </c:pt>
                <c:pt idx="84">
                  <c:v>0.68000000000000027</c:v>
                </c:pt>
                <c:pt idx="85">
                  <c:v>0.70000000000000029</c:v>
                </c:pt>
                <c:pt idx="86">
                  <c:v>0.72000000000000031</c:v>
                </c:pt>
                <c:pt idx="87">
                  <c:v>0.74000000000000032</c:v>
                </c:pt>
                <c:pt idx="88">
                  <c:v>0.76000000000000034</c:v>
                </c:pt>
                <c:pt idx="89">
                  <c:v>0.78000000000000036</c:v>
                </c:pt>
                <c:pt idx="90">
                  <c:v>0.80000000000000038</c:v>
                </c:pt>
                <c:pt idx="91">
                  <c:v>0.8200000000000004</c:v>
                </c:pt>
                <c:pt idx="92">
                  <c:v>0.84000000000000041</c:v>
                </c:pt>
                <c:pt idx="93">
                  <c:v>0.86000000000000043</c:v>
                </c:pt>
                <c:pt idx="94">
                  <c:v>0.88000000000000045</c:v>
                </c:pt>
                <c:pt idx="95">
                  <c:v>0.90000000000000047</c:v>
                </c:pt>
                <c:pt idx="96">
                  <c:v>0.92000000000000048</c:v>
                </c:pt>
                <c:pt idx="97">
                  <c:v>0.9400000000000005</c:v>
                </c:pt>
                <c:pt idx="98">
                  <c:v>0.96000000000000052</c:v>
                </c:pt>
                <c:pt idx="99">
                  <c:v>0.98000000000000054</c:v>
                </c:pt>
                <c:pt idx="100">
                  <c:v>1.0000000000000004</c:v>
                </c:pt>
              </c:numCache>
            </c:numRef>
          </c:xVal>
          <c:yVal>
            <c:numRef>
              <c:f>Sheet1!$B$41:$B$141</c:f>
              <c:numCache>
                <c:formatCode>General</c:formatCode>
                <c:ptCount val="101"/>
                <c:pt idx="0">
                  <c:v>-7.6695474141150891E+20</c:v>
                </c:pt>
                <c:pt idx="1">
                  <c:v>-1.3057599270966712E+16</c:v>
                </c:pt>
                <c:pt idx="2">
                  <c:v>-9.995066832530864E+16</c:v>
                </c:pt>
                <c:pt idx="3">
                  <c:v>-1.0082223222970199E+18</c:v>
                </c:pt>
                <c:pt idx="4">
                  <c:v>-1.43009355119034E+19</c:v>
                </c:pt>
                <c:pt idx="5">
                  <c:v>-3.1588003879583862E+20</c:v>
                </c:pt>
                <c:pt idx="6">
                  <c:v>-1.2686871613624858E+22</c:v>
                </c:pt>
                <c:pt idx="7">
                  <c:v>-1.1925974549087461E+24</c:v>
                </c:pt>
                <c:pt idx="8">
                  <c:v>-4.1294681431108442E+26</c:v>
                </c:pt>
                <c:pt idx="9">
                  <c:v>-1.3590759383308889E+30</c:v>
                </c:pt>
                <c:pt idx="10">
                  <c:v>-5.7217684489918798E+35</c:v>
                </c:pt>
                <c:pt idx="11">
                  <c:v>-8.8980285239924544E+49</c:v>
                </c:pt>
                <c:pt idx="12">
                  <c:v>-4.1778664670049783E+42</c:v>
                </c:pt>
                <c:pt idx="13">
                  <c:v>-6.8511278671672468E+32</c:v>
                </c:pt>
                <c:pt idx="14">
                  <c:v>-5.172368341529754E+27</c:v>
                </c:pt>
                <c:pt idx="15">
                  <c:v>-1.4772908456464956E+24</c:v>
                </c:pt>
                <c:pt idx="16">
                  <c:v>-2.6736306066122405E+21</c:v>
                </c:pt>
                <c:pt idx="17">
                  <c:v>-1.9500805553622303E+19</c:v>
                </c:pt>
                <c:pt idx="18">
                  <c:v>-7.5170280053116649E+19</c:v>
                </c:pt>
                <c:pt idx="19">
                  <c:v>-1.2726994100424467E+31</c:v>
                </c:pt>
                <c:pt idx="20">
                  <c:v>3.1583533153626894E+28</c:v>
                </c:pt>
                <c:pt idx="21">
                  <c:v>-1.5375133087815264E+25</c:v>
                </c:pt>
                <c:pt idx="22">
                  <c:v>-1.0309763128833978E+28</c:v>
                </c:pt>
                <c:pt idx="23">
                  <c:v>-1.2206724071395546E+32</c:v>
                </c:pt>
                <c:pt idx="24">
                  <c:v>-1.7678239658515711E+39</c:v>
                </c:pt>
                <c:pt idx="25">
                  <c:v>-5.9566535723103874E+76</c:v>
                </c:pt>
                <c:pt idx="26">
                  <c:v>-1.9341856626605719E+38</c:v>
                </c:pt>
                <c:pt idx="27">
                  <c:v>-9.5509492312926683E+30</c:v>
                </c:pt>
                <c:pt idx="28">
                  <c:v>-3.7761616312557108E+26</c:v>
                </c:pt>
                <c:pt idx="29">
                  <c:v>-6.3217594729652349E+43</c:v>
                </c:pt>
                <c:pt idx="30">
                  <c:v>7.4766723688333024E+31</c:v>
                </c:pt>
                <c:pt idx="31">
                  <c:v>3.5042486168271521E+40</c:v>
                </c:pt>
                <c:pt idx="32">
                  <c:v>3.102754150069871E+51</c:v>
                </c:pt>
                <c:pt idx="33">
                  <c:v>4.8036721089046461E+34</c:v>
                </c:pt>
                <c:pt idx="34">
                  <c:v>-5.2681328941376956E+42</c:v>
                </c:pt>
                <c:pt idx="35">
                  <c:v>1.321357361545939E+46</c:v>
                </c:pt>
                <c:pt idx="36">
                  <c:v>1.2627252623375102E+45</c:v>
                </c:pt>
                <c:pt idx="37">
                  <c:v>1.4957040654593471E+42</c:v>
                </c:pt>
                <c:pt idx="38">
                  <c:v>4.6323103837906008E+47</c:v>
                </c:pt>
                <c:pt idx="39">
                  <c:v>-5.818521280936908E+56</c:v>
                </c:pt>
                <c:pt idx="40">
                  <c:v>7.9396634572747575E+41</c:v>
                </c:pt>
                <c:pt idx="41">
                  <c:v>4.8186155992006737E+31</c:v>
                </c:pt>
                <c:pt idx="42">
                  <c:v>2.6940006740360916E+26</c:v>
                </c:pt>
                <c:pt idx="43">
                  <c:v>5.8719047992548209E+22</c:v>
                </c:pt>
                <c:pt idx="44">
                  <c:v>7.491860697171275E+19</c:v>
                </c:pt>
                <c:pt idx="45">
                  <c:v>2.4694335939682886E+17</c:v>
                </c:pt>
                <c:pt idx="46">
                  <c:v>1043805251051185.3</c:v>
                </c:pt>
                <c:pt idx="47">
                  <c:v>-12939652889769.145</c:v>
                </c:pt>
                <c:pt idx="48">
                  <c:v>-1290751402491.7175</c:v>
                </c:pt>
                <c:pt idx="49">
                  <c:v>-84933698228.308807</c:v>
                </c:pt>
                <c:pt idx="50">
                  <c:v>-5880133835.7987375</c:v>
                </c:pt>
                <c:pt idx="51">
                  <c:v>-452219306.54137695</c:v>
                </c:pt>
                <c:pt idx="52">
                  <c:v>-38720807.807898127</c:v>
                </c:pt>
                <c:pt idx="53">
                  <c:v>-3656730.6783680469</c:v>
                </c:pt>
                <c:pt idx="54">
                  <c:v>-376399.05613686494</c:v>
                </c:pt>
                <c:pt idx="55">
                  <c:v>-41737.613680198388</c:v>
                </c:pt>
                <c:pt idx="56">
                  <c:v>-4932.0716077373818</c:v>
                </c:pt>
                <c:pt idx="57">
                  <c:v>-615.02950730067118</c:v>
                </c:pt>
                <c:pt idx="58">
                  <c:v>-80.224825267865313</c:v>
                </c:pt>
                <c:pt idx="59">
                  <c:v>-10.865099215668772</c:v>
                </c:pt>
                <c:pt idx="60">
                  <c:v>-1.5233546954737751</c:v>
                </c:pt>
                <c:pt idx="61">
                  <c:v>-0.22642448846711893</c:v>
                </c:pt>
                <c:pt idx="62">
                  <c:v>-4.2185032864764826E-2</c:v>
                </c:pt>
                <c:pt idx="63">
                  <c:v>-1.5660695757848009E-2</c:v>
                </c:pt>
                <c:pt idx="64">
                  <c:v>-1.1897078619454104E-2</c:v>
                </c:pt>
                <c:pt idx="65">
                  <c:v>-1.1456842421732061E-2</c:v>
                </c:pt>
                <c:pt idx="66">
                  <c:v>-1.1504469527574335E-2</c:v>
                </c:pt>
                <c:pt idx="67">
                  <c:v>-1.1623551402910381E-2</c:v>
                </c:pt>
                <c:pt idx="68">
                  <c:v>-1.1752901913002045E-2</c:v>
                </c:pt>
                <c:pt idx="69">
                  <c:v>-1.1883580588736065E-2</c:v>
                </c:pt>
                <c:pt idx="70">
                  <c:v>-1.2014296232701671E-2</c:v>
                </c:pt>
                <c:pt idx="71">
                  <c:v>-1.2144865362259782E-2</c:v>
                </c:pt>
                <c:pt idx="72">
                  <c:v>-1.2275262091971051E-2</c:v>
                </c:pt>
                <c:pt idx="73">
                  <c:v>-1.2405482410999147E-2</c:v>
                </c:pt>
                <c:pt idx="74">
                  <c:v>-1.2535525253581481E-2</c:v>
                </c:pt>
                <c:pt idx="75">
                  <c:v>-1.2665389941869165E-2</c:v>
                </c:pt>
                <c:pt idx="76">
                  <c:v>-1.2795075854284299E-2</c:v>
                </c:pt>
                <c:pt idx="77">
                  <c:v>-1.2924582384528316E-2</c:v>
                </c:pt>
                <c:pt idx="78">
                  <c:v>-1.3053908936834668E-2</c:v>
                </c:pt>
                <c:pt idx="79">
                  <c:v>-1.3183054925250959E-2</c:v>
                </c:pt>
                <c:pt idx="80">
                  <c:v>-1.3312019773496164E-2</c:v>
                </c:pt>
                <c:pt idx="81">
                  <c:v>-1.3440802914782557E-2</c:v>
                </c:pt>
                <c:pt idx="82">
                  <c:v>-1.3569403791567458E-2</c:v>
                </c:pt>
                <c:pt idx="83">
                  <c:v>-1.3697821855433112E-2</c:v>
                </c:pt>
                <c:pt idx="84">
                  <c:v>-1.3826056566796474E-2</c:v>
                </c:pt>
                <c:pt idx="85">
                  <c:v>-1.3954107394663628E-2</c:v>
                </c:pt>
                <c:pt idx="86">
                  <c:v>-1.4081973816420845E-2</c:v>
                </c:pt>
                <c:pt idx="87">
                  <c:v>-1.4209655317488634E-2</c:v>
                </c:pt>
                <c:pt idx="88">
                  <c:v>-1.4337151391121461E-2</c:v>
                </c:pt>
                <c:pt idx="89">
                  <c:v>-1.4464461538069351E-2</c:v>
                </c:pt>
                <c:pt idx="90">
                  <c:v>-1.4591585266229501E-2</c:v>
                </c:pt>
                <c:pt idx="91">
                  <c:v>-1.4718522090447106E-2</c:v>
                </c:pt>
                <c:pt idx="92">
                  <c:v>-1.4845271532118565E-2</c:v>
                </c:pt>
                <c:pt idx="93">
                  <c:v>-1.4971833118866407E-2</c:v>
                </c:pt>
                <c:pt idx="94">
                  <c:v>-1.509820638429793E-2</c:v>
                </c:pt>
                <c:pt idx="95">
                  <c:v>-1.5224390867613513E-2</c:v>
                </c:pt>
                <c:pt idx="96">
                  <c:v>-1.5350386113305969E-2</c:v>
                </c:pt>
                <c:pt idx="97">
                  <c:v>-1.5476191670870332E-2</c:v>
                </c:pt>
                <c:pt idx="98">
                  <c:v>-1.5601807094480336E-2</c:v>
                </c:pt>
                <c:pt idx="99">
                  <c:v>-1.5727231942678666E-2</c:v>
                </c:pt>
                <c:pt idx="100">
                  <c:v>-1.5852465778095404E-2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9D-4F45-91D6-5DC09FE27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372864"/>
        <c:axId val="632373192"/>
      </c:scatterChart>
      <c:valAx>
        <c:axId val="63237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73192"/>
        <c:crosses val="autoZero"/>
        <c:crossBetween val="midCat"/>
      </c:valAx>
      <c:valAx>
        <c:axId val="63237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37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Sheet1!$B$40</c:f>
              <c:strCache>
                <c:ptCount val="1"/>
                <c:pt idx="0">
                  <c:v>PDE Discrepancy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Sheet1!$A$41:$A$141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-0.57999999999999963</c:v>
                </c:pt>
                <c:pt idx="22">
                  <c:v>-0.55999999999999961</c:v>
                </c:pt>
                <c:pt idx="23">
                  <c:v>-0.53999999999999959</c:v>
                </c:pt>
                <c:pt idx="24">
                  <c:v>-0.51999999999999957</c:v>
                </c:pt>
                <c:pt idx="25">
                  <c:v>-0.49999999999999956</c:v>
                </c:pt>
                <c:pt idx="26">
                  <c:v>-0.47999999999999954</c:v>
                </c:pt>
                <c:pt idx="27">
                  <c:v>-0.45999999999999952</c:v>
                </c:pt>
                <c:pt idx="28">
                  <c:v>-0.4399999999999995</c:v>
                </c:pt>
                <c:pt idx="29">
                  <c:v>-0.41999999999999948</c:v>
                </c:pt>
                <c:pt idx="30">
                  <c:v>-0.39999999999999947</c:v>
                </c:pt>
                <c:pt idx="31">
                  <c:v>-0.37999999999999945</c:v>
                </c:pt>
                <c:pt idx="32">
                  <c:v>-0.35999999999999943</c:v>
                </c:pt>
                <c:pt idx="33">
                  <c:v>-0.33999999999999941</c:v>
                </c:pt>
                <c:pt idx="34">
                  <c:v>-0.3199999999999994</c:v>
                </c:pt>
                <c:pt idx="35">
                  <c:v>-0.29999999999999938</c:v>
                </c:pt>
                <c:pt idx="36">
                  <c:v>-0.27999999999999936</c:v>
                </c:pt>
                <c:pt idx="37">
                  <c:v>-0.25999999999999934</c:v>
                </c:pt>
                <c:pt idx="38">
                  <c:v>-0.23999999999999935</c:v>
                </c:pt>
                <c:pt idx="39">
                  <c:v>-0.21999999999999936</c:v>
                </c:pt>
                <c:pt idx="40">
                  <c:v>-0.19999999999999937</c:v>
                </c:pt>
                <c:pt idx="41">
                  <c:v>-0.17999999999999938</c:v>
                </c:pt>
                <c:pt idx="42">
                  <c:v>-0.15999999999999939</c:v>
                </c:pt>
                <c:pt idx="43">
                  <c:v>-0.1399999999999994</c:v>
                </c:pt>
                <c:pt idx="44">
                  <c:v>-0.1199999999999994</c:v>
                </c:pt>
                <c:pt idx="45">
                  <c:v>-9.9999999999999395E-2</c:v>
                </c:pt>
                <c:pt idx="46">
                  <c:v>-7.9999999999999391E-2</c:v>
                </c:pt>
                <c:pt idx="47">
                  <c:v>-5.9999999999999387E-2</c:v>
                </c:pt>
                <c:pt idx="48">
                  <c:v>-3.9999999999999383E-2</c:v>
                </c:pt>
                <c:pt idx="49">
                  <c:v>-1.9999999999999383E-2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0.12000000000000001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0.19999999999999998</c:v>
                </c:pt>
                <c:pt idx="61">
                  <c:v>0.21999999999999997</c:v>
                </c:pt>
                <c:pt idx="62">
                  <c:v>0.23999999999999996</c:v>
                </c:pt>
                <c:pt idx="63">
                  <c:v>0.25999999999999995</c:v>
                </c:pt>
                <c:pt idx="64">
                  <c:v>0.27999999999999997</c:v>
                </c:pt>
                <c:pt idx="65">
                  <c:v>0.3</c:v>
                </c:pt>
                <c:pt idx="66">
                  <c:v>0.32</c:v>
                </c:pt>
                <c:pt idx="67">
                  <c:v>0.34</c:v>
                </c:pt>
                <c:pt idx="68">
                  <c:v>0.36000000000000004</c:v>
                </c:pt>
                <c:pt idx="69">
                  <c:v>0.38000000000000006</c:v>
                </c:pt>
                <c:pt idx="70">
                  <c:v>0.40000000000000008</c:v>
                </c:pt>
                <c:pt idx="71">
                  <c:v>0.4200000000000001</c:v>
                </c:pt>
                <c:pt idx="72">
                  <c:v>0.44000000000000011</c:v>
                </c:pt>
                <c:pt idx="73">
                  <c:v>0.46000000000000013</c:v>
                </c:pt>
                <c:pt idx="74">
                  <c:v>0.48000000000000015</c:v>
                </c:pt>
                <c:pt idx="75">
                  <c:v>0.50000000000000011</c:v>
                </c:pt>
                <c:pt idx="76">
                  <c:v>0.52000000000000013</c:v>
                </c:pt>
                <c:pt idx="77">
                  <c:v>0.54000000000000015</c:v>
                </c:pt>
                <c:pt idx="78">
                  <c:v>0.56000000000000016</c:v>
                </c:pt>
                <c:pt idx="79">
                  <c:v>0.58000000000000018</c:v>
                </c:pt>
                <c:pt idx="80">
                  <c:v>0.6000000000000002</c:v>
                </c:pt>
                <c:pt idx="81">
                  <c:v>0.62000000000000022</c:v>
                </c:pt>
                <c:pt idx="82">
                  <c:v>0.64000000000000024</c:v>
                </c:pt>
                <c:pt idx="83">
                  <c:v>0.66000000000000025</c:v>
                </c:pt>
                <c:pt idx="84">
                  <c:v>0.68000000000000027</c:v>
                </c:pt>
                <c:pt idx="85">
                  <c:v>0.70000000000000029</c:v>
                </c:pt>
                <c:pt idx="86">
                  <c:v>0.72000000000000031</c:v>
                </c:pt>
                <c:pt idx="87">
                  <c:v>0.74000000000000032</c:v>
                </c:pt>
                <c:pt idx="88">
                  <c:v>0.76000000000000034</c:v>
                </c:pt>
                <c:pt idx="89">
                  <c:v>0.78000000000000036</c:v>
                </c:pt>
                <c:pt idx="90">
                  <c:v>0.80000000000000038</c:v>
                </c:pt>
                <c:pt idx="91">
                  <c:v>0.8200000000000004</c:v>
                </c:pt>
                <c:pt idx="92">
                  <c:v>0.84000000000000041</c:v>
                </c:pt>
                <c:pt idx="93">
                  <c:v>0.86000000000000043</c:v>
                </c:pt>
                <c:pt idx="94">
                  <c:v>0.88000000000000045</c:v>
                </c:pt>
                <c:pt idx="95">
                  <c:v>0.90000000000000047</c:v>
                </c:pt>
                <c:pt idx="96">
                  <c:v>0.92000000000000048</c:v>
                </c:pt>
                <c:pt idx="97">
                  <c:v>0.9400000000000005</c:v>
                </c:pt>
                <c:pt idx="98">
                  <c:v>0.96000000000000052</c:v>
                </c:pt>
                <c:pt idx="99">
                  <c:v>0.98000000000000054</c:v>
                </c:pt>
                <c:pt idx="100">
                  <c:v>1.0000000000000004</c:v>
                </c:pt>
              </c:numCache>
            </c:numRef>
          </c:xVal>
          <c:yVal>
            <c:numRef>
              <c:f>Sheet1!$B$41:$B$141</c:f>
              <c:numCache>
                <c:formatCode>General</c:formatCode>
                <c:ptCount val="101"/>
                <c:pt idx="0">
                  <c:v>-7.6695474141150891E+20</c:v>
                </c:pt>
                <c:pt idx="1">
                  <c:v>-1.3057599270966712E+16</c:v>
                </c:pt>
                <c:pt idx="2">
                  <c:v>-9.995066832530864E+16</c:v>
                </c:pt>
                <c:pt idx="3">
                  <c:v>-1.0082223222970199E+18</c:v>
                </c:pt>
                <c:pt idx="4">
                  <c:v>-1.43009355119034E+19</c:v>
                </c:pt>
                <c:pt idx="5">
                  <c:v>-3.1588003879583862E+20</c:v>
                </c:pt>
                <c:pt idx="6">
                  <c:v>-1.2686871613624858E+22</c:v>
                </c:pt>
                <c:pt idx="7">
                  <c:v>-1.1925974549087461E+24</c:v>
                </c:pt>
                <c:pt idx="8">
                  <c:v>-4.1294681431108442E+26</c:v>
                </c:pt>
                <c:pt idx="9">
                  <c:v>-1.3590759383308889E+30</c:v>
                </c:pt>
                <c:pt idx="10">
                  <c:v>-5.7217684489918798E+35</c:v>
                </c:pt>
                <c:pt idx="11">
                  <c:v>-8.8980285239924544E+49</c:v>
                </c:pt>
                <c:pt idx="12">
                  <c:v>-4.1778664670049783E+42</c:v>
                </c:pt>
                <c:pt idx="13">
                  <c:v>-6.8511278671672468E+32</c:v>
                </c:pt>
                <c:pt idx="14">
                  <c:v>-5.172368341529754E+27</c:v>
                </c:pt>
                <c:pt idx="15">
                  <c:v>-1.4772908456464956E+24</c:v>
                </c:pt>
                <c:pt idx="16">
                  <c:v>-2.6736306066122405E+21</c:v>
                </c:pt>
                <c:pt idx="17">
                  <c:v>-1.9500805553622303E+19</c:v>
                </c:pt>
                <c:pt idx="18">
                  <c:v>-7.5170280053116649E+19</c:v>
                </c:pt>
                <c:pt idx="19">
                  <c:v>-1.2726994100424467E+31</c:v>
                </c:pt>
                <c:pt idx="20">
                  <c:v>3.1583533153626894E+28</c:v>
                </c:pt>
                <c:pt idx="21">
                  <c:v>-1.5375133087815264E+25</c:v>
                </c:pt>
                <c:pt idx="22">
                  <c:v>-1.0309763128833978E+28</c:v>
                </c:pt>
                <c:pt idx="23">
                  <c:v>-1.2206724071395546E+32</c:v>
                </c:pt>
                <c:pt idx="24">
                  <c:v>-1.7678239658515711E+39</c:v>
                </c:pt>
                <c:pt idx="25">
                  <c:v>-5.9566535723103874E+76</c:v>
                </c:pt>
                <c:pt idx="26">
                  <c:v>-1.9341856626605719E+38</c:v>
                </c:pt>
                <c:pt idx="27">
                  <c:v>-9.5509492312926683E+30</c:v>
                </c:pt>
                <c:pt idx="28">
                  <c:v>-3.7761616312557108E+26</c:v>
                </c:pt>
                <c:pt idx="29">
                  <c:v>-6.3217594729652349E+43</c:v>
                </c:pt>
                <c:pt idx="30">
                  <c:v>7.4766723688333024E+31</c:v>
                </c:pt>
                <c:pt idx="31">
                  <c:v>3.5042486168271521E+40</c:v>
                </c:pt>
                <c:pt idx="32">
                  <c:v>3.102754150069871E+51</c:v>
                </c:pt>
                <c:pt idx="33">
                  <c:v>4.8036721089046461E+34</c:v>
                </c:pt>
                <c:pt idx="34">
                  <c:v>-5.2681328941376956E+42</c:v>
                </c:pt>
                <c:pt idx="35">
                  <c:v>1.321357361545939E+46</c:v>
                </c:pt>
                <c:pt idx="36">
                  <c:v>1.2627252623375102E+45</c:v>
                </c:pt>
                <c:pt idx="37">
                  <c:v>1.4957040654593471E+42</c:v>
                </c:pt>
                <c:pt idx="38">
                  <c:v>4.6323103837906008E+47</c:v>
                </c:pt>
                <c:pt idx="39">
                  <c:v>-5.818521280936908E+56</c:v>
                </c:pt>
                <c:pt idx="40">
                  <c:v>7.9396634572747575E+41</c:v>
                </c:pt>
                <c:pt idx="41">
                  <c:v>4.8186155992006737E+31</c:v>
                </c:pt>
                <c:pt idx="42">
                  <c:v>2.6940006740360916E+26</c:v>
                </c:pt>
                <c:pt idx="43">
                  <c:v>5.8719047992548209E+22</c:v>
                </c:pt>
                <c:pt idx="44">
                  <c:v>7.491860697171275E+19</c:v>
                </c:pt>
                <c:pt idx="45">
                  <c:v>2.4694335939682886E+17</c:v>
                </c:pt>
                <c:pt idx="46">
                  <c:v>1043805251051185.3</c:v>
                </c:pt>
                <c:pt idx="47">
                  <c:v>-12939652889769.145</c:v>
                </c:pt>
                <c:pt idx="48">
                  <c:v>-1290751402491.7175</c:v>
                </c:pt>
                <c:pt idx="49">
                  <c:v>-84933698228.308807</c:v>
                </c:pt>
                <c:pt idx="50">
                  <c:v>-5880133835.7987375</c:v>
                </c:pt>
                <c:pt idx="51">
                  <c:v>-452219306.54137695</c:v>
                </c:pt>
                <c:pt idx="52">
                  <c:v>-38720807.807898127</c:v>
                </c:pt>
                <c:pt idx="53">
                  <c:v>-3656730.6783680469</c:v>
                </c:pt>
                <c:pt idx="54">
                  <c:v>-376399.05613686494</c:v>
                </c:pt>
                <c:pt idx="55">
                  <c:v>-41737.613680198388</c:v>
                </c:pt>
                <c:pt idx="56">
                  <c:v>-4932.0716077373818</c:v>
                </c:pt>
                <c:pt idx="57">
                  <c:v>-615.02950730067118</c:v>
                </c:pt>
                <c:pt idx="58">
                  <c:v>-80.224825267865313</c:v>
                </c:pt>
                <c:pt idx="59">
                  <c:v>-10.865099215668772</c:v>
                </c:pt>
                <c:pt idx="60">
                  <c:v>-1.5233546954737751</c:v>
                </c:pt>
                <c:pt idx="61">
                  <c:v>-0.22642448846711893</c:v>
                </c:pt>
                <c:pt idx="62">
                  <c:v>-4.2185032864764826E-2</c:v>
                </c:pt>
                <c:pt idx="63">
                  <c:v>-1.5660695757848009E-2</c:v>
                </c:pt>
                <c:pt idx="64">
                  <c:v>-1.1897078619454104E-2</c:v>
                </c:pt>
                <c:pt idx="65">
                  <c:v>-1.1456842421732061E-2</c:v>
                </c:pt>
                <c:pt idx="66">
                  <c:v>-1.1504469527574335E-2</c:v>
                </c:pt>
                <c:pt idx="67">
                  <c:v>-1.1623551402910381E-2</c:v>
                </c:pt>
                <c:pt idx="68">
                  <c:v>-1.1752901913002045E-2</c:v>
                </c:pt>
                <c:pt idx="69">
                  <c:v>-1.1883580588736065E-2</c:v>
                </c:pt>
                <c:pt idx="70">
                  <c:v>-1.2014296232701671E-2</c:v>
                </c:pt>
                <c:pt idx="71">
                  <c:v>-1.2144865362259782E-2</c:v>
                </c:pt>
                <c:pt idx="72">
                  <c:v>-1.2275262091971051E-2</c:v>
                </c:pt>
                <c:pt idx="73">
                  <c:v>-1.2405482410999147E-2</c:v>
                </c:pt>
                <c:pt idx="74">
                  <c:v>-1.2535525253581481E-2</c:v>
                </c:pt>
                <c:pt idx="75">
                  <c:v>-1.2665389941869165E-2</c:v>
                </c:pt>
                <c:pt idx="76">
                  <c:v>-1.2795075854284299E-2</c:v>
                </c:pt>
                <c:pt idx="77">
                  <c:v>-1.2924582384528316E-2</c:v>
                </c:pt>
                <c:pt idx="78">
                  <c:v>-1.3053908936834668E-2</c:v>
                </c:pt>
                <c:pt idx="79">
                  <c:v>-1.3183054925250959E-2</c:v>
                </c:pt>
                <c:pt idx="80">
                  <c:v>-1.3312019773496164E-2</c:v>
                </c:pt>
                <c:pt idx="81">
                  <c:v>-1.3440802914782557E-2</c:v>
                </c:pt>
                <c:pt idx="82">
                  <c:v>-1.3569403791567458E-2</c:v>
                </c:pt>
                <c:pt idx="83">
                  <c:v>-1.3697821855433112E-2</c:v>
                </c:pt>
                <c:pt idx="84">
                  <c:v>-1.3826056566796474E-2</c:v>
                </c:pt>
                <c:pt idx="85">
                  <c:v>-1.3954107394663628E-2</c:v>
                </c:pt>
                <c:pt idx="86">
                  <c:v>-1.4081973816420845E-2</c:v>
                </c:pt>
                <c:pt idx="87">
                  <c:v>-1.4209655317488634E-2</c:v>
                </c:pt>
                <c:pt idx="88">
                  <c:v>-1.4337151391121461E-2</c:v>
                </c:pt>
                <c:pt idx="89">
                  <c:v>-1.4464461538069351E-2</c:v>
                </c:pt>
                <c:pt idx="90">
                  <c:v>-1.4591585266229501E-2</c:v>
                </c:pt>
                <c:pt idx="91">
                  <c:v>-1.4718522090447106E-2</c:v>
                </c:pt>
                <c:pt idx="92">
                  <c:v>-1.4845271532118565E-2</c:v>
                </c:pt>
                <c:pt idx="93">
                  <c:v>-1.4971833118866407E-2</c:v>
                </c:pt>
                <c:pt idx="94">
                  <c:v>-1.509820638429793E-2</c:v>
                </c:pt>
                <c:pt idx="95">
                  <c:v>-1.5224390867613513E-2</c:v>
                </c:pt>
                <c:pt idx="96">
                  <c:v>-1.5350386113305969E-2</c:v>
                </c:pt>
                <c:pt idx="97">
                  <c:v>-1.5476191670870332E-2</c:v>
                </c:pt>
                <c:pt idx="98">
                  <c:v>-1.5601807094480336E-2</c:v>
                </c:pt>
                <c:pt idx="99">
                  <c:v>-1.5727231942678666E-2</c:v>
                </c:pt>
                <c:pt idx="100">
                  <c:v>-1.5852465778095404E-2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85-4F3F-9396-0C5A52BBB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60560"/>
        <c:axId val="549161544"/>
      </c:scatterChart>
      <c:valAx>
        <c:axId val="5491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61544"/>
        <c:crosses val="autoZero"/>
        <c:crossBetween val="midCat"/>
      </c:valAx>
      <c:valAx>
        <c:axId val="54916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6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Sheet1!$B$40</c:f>
              <c:strCache>
                <c:ptCount val="1"/>
                <c:pt idx="0">
                  <c:v>PDE Discrepancy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Sheet1!$A$41:$A$141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-0.57999999999999963</c:v>
                </c:pt>
                <c:pt idx="22">
                  <c:v>-0.55999999999999961</c:v>
                </c:pt>
                <c:pt idx="23">
                  <c:v>-0.53999999999999959</c:v>
                </c:pt>
                <c:pt idx="24">
                  <c:v>-0.51999999999999957</c:v>
                </c:pt>
                <c:pt idx="25">
                  <c:v>-0.49999999999999956</c:v>
                </c:pt>
                <c:pt idx="26">
                  <c:v>-0.47999999999999954</c:v>
                </c:pt>
                <c:pt idx="27">
                  <c:v>-0.45999999999999952</c:v>
                </c:pt>
                <c:pt idx="28">
                  <c:v>-0.4399999999999995</c:v>
                </c:pt>
                <c:pt idx="29">
                  <c:v>-0.41999999999999948</c:v>
                </c:pt>
                <c:pt idx="30">
                  <c:v>-0.39999999999999947</c:v>
                </c:pt>
                <c:pt idx="31">
                  <c:v>-0.37999999999999945</c:v>
                </c:pt>
                <c:pt idx="32">
                  <c:v>-0.35999999999999943</c:v>
                </c:pt>
                <c:pt idx="33">
                  <c:v>-0.33999999999999941</c:v>
                </c:pt>
                <c:pt idx="34">
                  <c:v>-0.3199999999999994</c:v>
                </c:pt>
                <c:pt idx="35">
                  <c:v>-0.29999999999999938</c:v>
                </c:pt>
                <c:pt idx="36">
                  <c:v>-0.27999999999999936</c:v>
                </c:pt>
                <c:pt idx="37">
                  <c:v>-0.25999999999999934</c:v>
                </c:pt>
                <c:pt idx="38">
                  <c:v>-0.23999999999999935</c:v>
                </c:pt>
                <c:pt idx="39">
                  <c:v>-0.21999999999999936</c:v>
                </c:pt>
                <c:pt idx="40">
                  <c:v>-0.19999999999999937</c:v>
                </c:pt>
                <c:pt idx="41">
                  <c:v>-0.17999999999999938</c:v>
                </c:pt>
                <c:pt idx="42">
                  <c:v>-0.15999999999999939</c:v>
                </c:pt>
                <c:pt idx="43">
                  <c:v>-0.1399999999999994</c:v>
                </c:pt>
                <c:pt idx="44">
                  <c:v>-0.1199999999999994</c:v>
                </c:pt>
                <c:pt idx="45">
                  <c:v>-9.9999999999999395E-2</c:v>
                </c:pt>
                <c:pt idx="46">
                  <c:v>-7.9999999999999391E-2</c:v>
                </c:pt>
                <c:pt idx="47">
                  <c:v>-5.9999999999999387E-2</c:v>
                </c:pt>
                <c:pt idx="48">
                  <c:v>-3.9999999999999383E-2</c:v>
                </c:pt>
                <c:pt idx="49">
                  <c:v>-1.9999999999999383E-2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0.06</c:v>
                </c:pt>
                <c:pt idx="54">
                  <c:v>0.08</c:v>
                </c:pt>
                <c:pt idx="55">
                  <c:v>0.1</c:v>
                </c:pt>
                <c:pt idx="56">
                  <c:v>0.12000000000000001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0.19999999999999998</c:v>
                </c:pt>
                <c:pt idx="61">
                  <c:v>0.21999999999999997</c:v>
                </c:pt>
                <c:pt idx="62">
                  <c:v>0.23999999999999996</c:v>
                </c:pt>
                <c:pt idx="63">
                  <c:v>0.25999999999999995</c:v>
                </c:pt>
                <c:pt idx="64">
                  <c:v>0.27999999999999997</c:v>
                </c:pt>
                <c:pt idx="65">
                  <c:v>0.3</c:v>
                </c:pt>
                <c:pt idx="66">
                  <c:v>0.32</c:v>
                </c:pt>
                <c:pt idx="67">
                  <c:v>0.34</c:v>
                </c:pt>
                <c:pt idx="68">
                  <c:v>0.36000000000000004</c:v>
                </c:pt>
                <c:pt idx="69">
                  <c:v>0.38000000000000006</c:v>
                </c:pt>
                <c:pt idx="70">
                  <c:v>0.40000000000000008</c:v>
                </c:pt>
                <c:pt idx="71">
                  <c:v>0.4200000000000001</c:v>
                </c:pt>
                <c:pt idx="72">
                  <c:v>0.44000000000000011</c:v>
                </c:pt>
                <c:pt idx="73">
                  <c:v>0.46000000000000013</c:v>
                </c:pt>
                <c:pt idx="74">
                  <c:v>0.48000000000000015</c:v>
                </c:pt>
                <c:pt idx="75">
                  <c:v>0.50000000000000011</c:v>
                </c:pt>
                <c:pt idx="76">
                  <c:v>0.52000000000000013</c:v>
                </c:pt>
                <c:pt idx="77">
                  <c:v>0.54000000000000015</c:v>
                </c:pt>
                <c:pt idx="78">
                  <c:v>0.56000000000000016</c:v>
                </c:pt>
                <c:pt idx="79">
                  <c:v>0.58000000000000018</c:v>
                </c:pt>
                <c:pt idx="80">
                  <c:v>0.6000000000000002</c:v>
                </c:pt>
                <c:pt idx="81">
                  <c:v>0.62000000000000022</c:v>
                </c:pt>
                <c:pt idx="82">
                  <c:v>0.64000000000000024</c:v>
                </c:pt>
                <c:pt idx="83">
                  <c:v>0.66000000000000025</c:v>
                </c:pt>
                <c:pt idx="84">
                  <c:v>0.68000000000000027</c:v>
                </c:pt>
                <c:pt idx="85">
                  <c:v>0.70000000000000029</c:v>
                </c:pt>
                <c:pt idx="86">
                  <c:v>0.72000000000000031</c:v>
                </c:pt>
                <c:pt idx="87">
                  <c:v>0.74000000000000032</c:v>
                </c:pt>
                <c:pt idx="88">
                  <c:v>0.76000000000000034</c:v>
                </c:pt>
                <c:pt idx="89">
                  <c:v>0.78000000000000036</c:v>
                </c:pt>
                <c:pt idx="90">
                  <c:v>0.80000000000000038</c:v>
                </c:pt>
                <c:pt idx="91">
                  <c:v>0.8200000000000004</c:v>
                </c:pt>
                <c:pt idx="92">
                  <c:v>0.84000000000000041</c:v>
                </c:pt>
                <c:pt idx="93">
                  <c:v>0.86000000000000043</c:v>
                </c:pt>
                <c:pt idx="94">
                  <c:v>0.88000000000000045</c:v>
                </c:pt>
                <c:pt idx="95">
                  <c:v>0.90000000000000047</c:v>
                </c:pt>
                <c:pt idx="96">
                  <c:v>0.92000000000000048</c:v>
                </c:pt>
                <c:pt idx="97">
                  <c:v>0.9400000000000005</c:v>
                </c:pt>
                <c:pt idx="98">
                  <c:v>0.96000000000000052</c:v>
                </c:pt>
                <c:pt idx="99">
                  <c:v>0.98000000000000054</c:v>
                </c:pt>
                <c:pt idx="100">
                  <c:v>1.0000000000000004</c:v>
                </c:pt>
              </c:numCache>
            </c:numRef>
          </c:xVal>
          <c:yVal>
            <c:numRef>
              <c:f>Sheet1!$B$41:$B$141</c:f>
              <c:numCache>
                <c:formatCode>General</c:formatCode>
                <c:ptCount val="101"/>
                <c:pt idx="0">
                  <c:v>-7.6695474141150891E+20</c:v>
                </c:pt>
                <c:pt idx="1">
                  <c:v>-1.3057599270966712E+16</c:v>
                </c:pt>
                <c:pt idx="2">
                  <c:v>-9.995066832530864E+16</c:v>
                </c:pt>
                <c:pt idx="3">
                  <c:v>-1.0082223222970199E+18</c:v>
                </c:pt>
                <c:pt idx="4">
                  <c:v>-1.43009355119034E+19</c:v>
                </c:pt>
                <c:pt idx="5">
                  <c:v>-3.1588003879583862E+20</c:v>
                </c:pt>
                <c:pt idx="6">
                  <c:v>-1.2686871613624858E+22</c:v>
                </c:pt>
                <c:pt idx="7">
                  <c:v>-1.1925974549087461E+24</c:v>
                </c:pt>
                <c:pt idx="8">
                  <c:v>-4.1294681431108442E+26</c:v>
                </c:pt>
                <c:pt idx="9">
                  <c:v>-1.3590759383308889E+30</c:v>
                </c:pt>
                <c:pt idx="10">
                  <c:v>-5.7217684489918798E+35</c:v>
                </c:pt>
                <c:pt idx="11">
                  <c:v>-8.8980285239924544E+49</c:v>
                </c:pt>
                <c:pt idx="12">
                  <c:v>-4.1778664670049783E+42</c:v>
                </c:pt>
                <c:pt idx="13">
                  <c:v>-6.8511278671672468E+32</c:v>
                </c:pt>
                <c:pt idx="14">
                  <c:v>-5.172368341529754E+27</c:v>
                </c:pt>
                <c:pt idx="15">
                  <c:v>-1.4772908456464956E+24</c:v>
                </c:pt>
                <c:pt idx="16">
                  <c:v>-2.6736306066122405E+21</c:v>
                </c:pt>
                <c:pt idx="17">
                  <c:v>-1.9500805553622303E+19</c:v>
                </c:pt>
                <c:pt idx="18">
                  <c:v>-7.5170280053116649E+19</c:v>
                </c:pt>
                <c:pt idx="19">
                  <c:v>-1.2726994100424467E+31</c:v>
                </c:pt>
                <c:pt idx="20">
                  <c:v>3.1583533153626894E+28</c:v>
                </c:pt>
                <c:pt idx="21">
                  <c:v>-1.5375133087815264E+25</c:v>
                </c:pt>
                <c:pt idx="22">
                  <c:v>-1.0309763128833978E+28</c:v>
                </c:pt>
                <c:pt idx="23">
                  <c:v>-1.2206724071395546E+32</c:v>
                </c:pt>
                <c:pt idx="24">
                  <c:v>-1.7678239658515711E+39</c:v>
                </c:pt>
                <c:pt idx="25">
                  <c:v>-5.9566535723103874E+76</c:v>
                </c:pt>
                <c:pt idx="26">
                  <c:v>-1.9341856626605719E+38</c:v>
                </c:pt>
                <c:pt idx="27">
                  <c:v>-9.5509492312926683E+30</c:v>
                </c:pt>
                <c:pt idx="28">
                  <c:v>-3.7761616312557108E+26</c:v>
                </c:pt>
                <c:pt idx="29">
                  <c:v>-6.3217594729652349E+43</c:v>
                </c:pt>
                <c:pt idx="30">
                  <c:v>7.4766723688333024E+31</c:v>
                </c:pt>
                <c:pt idx="31">
                  <c:v>3.5042486168271521E+40</c:v>
                </c:pt>
                <c:pt idx="32">
                  <c:v>3.102754150069871E+51</c:v>
                </c:pt>
                <c:pt idx="33">
                  <c:v>4.8036721089046461E+34</c:v>
                </c:pt>
                <c:pt idx="34">
                  <c:v>-5.2681328941376956E+42</c:v>
                </c:pt>
                <c:pt idx="35">
                  <c:v>1.321357361545939E+46</c:v>
                </c:pt>
                <c:pt idx="36">
                  <c:v>1.2627252623375102E+45</c:v>
                </c:pt>
                <c:pt idx="37">
                  <c:v>1.4957040654593471E+42</c:v>
                </c:pt>
                <c:pt idx="38">
                  <c:v>4.6323103837906008E+47</c:v>
                </c:pt>
                <c:pt idx="39">
                  <c:v>-5.818521280936908E+56</c:v>
                </c:pt>
                <c:pt idx="40">
                  <c:v>7.9396634572747575E+41</c:v>
                </c:pt>
                <c:pt idx="41">
                  <c:v>4.8186155992006737E+31</c:v>
                </c:pt>
                <c:pt idx="42">
                  <c:v>2.6940006740360916E+26</c:v>
                </c:pt>
                <c:pt idx="43">
                  <c:v>5.8719047992548209E+22</c:v>
                </c:pt>
                <c:pt idx="44">
                  <c:v>7.491860697171275E+19</c:v>
                </c:pt>
                <c:pt idx="45">
                  <c:v>2.4694335939682886E+17</c:v>
                </c:pt>
                <c:pt idx="46">
                  <c:v>1043805251051185.3</c:v>
                </c:pt>
                <c:pt idx="47">
                  <c:v>-12939652889769.145</c:v>
                </c:pt>
                <c:pt idx="48">
                  <c:v>-1290751402491.7175</c:v>
                </c:pt>
                <c:pt idx="49">
                  <c:v>-84933698228.308807</c:v>
                </c:pt>
                <c:pt idx="50">
                  <c:v>-5880133835.7987375</c:v>
                </c:pt>
                <c:pt idx="51">
                  <c:v>-452219306.54137695</c:v>
                </c:pt>
                <c:pt idx="52">
                  <c:v>-38720807.807898127</c:v>
                </c:pt>
                <c:pt idx="53">
                  <c:v>-3656730.6783680469</c:v>
                </c:pt>
                <c:pt idx="54">
                  <c:v>-376399.05613686494</c:v>
                </c:pt>
                <c:pt idx="55">
                  <c:v>-41737.613680198388</c:v>
                </c:pt>
                <c:pt idx="56">
                  <c:v>-4932.0716077373818</c:v>
                </c:pt>
                <c:pt idx="57">
                  <c:v>-615.02950730067118</c:v>
                </c:pt>
                <c:pt idx="58">
                  <c:v>-80.224825267865313</c:v>
                </c:pt>
                <c:pt idx="59">
                  <c:v>-10.865099215668772</c:v>
                </c:pt>
                <c:pt idx="60">
                  <c:v>-1.5233546954737751</c:v>
                </c:pt>
                <c:pt idx="61">
                  <c:v>-0.22642448846711893</c:v>
                </c:pt>
                <c:pt idx="62">
                  <c:v>-4.2185032864764826E-2</c:v>
                </c:pt>
                <c:pt idx="63">
                  <c:v>-1.5660695757848009E-2</c:v>
                </c:pt>
                <c:pt idx="64">
                  <c:v>-1.1897078619454104E-2</c:v>
                </c:pt>
                <c:pt idx="65">
                  <c:v>-1.1456842421732061E-2</c:v>
                </c:pt>
                <c:pt idx="66">
                  <c:v>-1.1504469527574335E-2</c:v>
                </c:pt>
                <c:pt idx="67">
                  <c:v>-1.1623551402910381E-2</c:v>
                </c:pt>
                <c:pt idx="68">
                  <c:v>-1.1752901913002045E-2</c:v>
                </c:pt>
                <c:pt idx="69">
                  <c:v>-1.1883580588736065E-2</c:v>
                </c:pt>
                <c:pt idx="70">
                  <c:v>-1.2014296232701671E-2</c:v>
                </c:pt>
                <c:pt idx="71">
                  <c:v>-1.2144865362259782E-2</c:v>
                </c:pt>
                <c:pt idx="72">
                  <c:v>-1.2275262091971051E-2</c:v>
                </c:pt>
                <c:pt idx="73">
                  <c:v>-1.2405482410999147E-2</c:v>
                </c:pt>
                <c:pt idx="74">
                  <c:v>-1.2535525253581481E-2</c:v>
                </c:pt>
                <c:pt idx="75">
                  <c:v>-1.2665389941869165E-2</c:v>
                </c:pt>
                <c:pt idx="76">
                  <c:v>-1.2795075854284299E-2</c:v>
                </c:pt>
                <c:pt idx="77">
                  <c:v>-1.2924582384528316E-2</c:v>
                </c:pt>
                <c:pt idx="78">
                  <c:v>-1.3053908936834668E-2</c:v>
                </c:pt>
                <c:pt idx="79">
                  <c:v>-1.3183054925250959E-2</c:v>
                </c:pt>
                <c:pt idx="80">
                  <c:v>-1.3312019773496164E-2</c:v>
                </c:pt>
                <c:pt idx="81">
                  <c:v>-1.3440802914782557E-2</c:v>
                </c:pt>
                <c:pt idx="82">
                  <c:v>-1.3569403791567458E-2</c:v>
                </c:pt>
                <c:pt idx="83">
                  <c:v>-1.3697821855433112E-2</c:v>
                </c:pt>
                <c:pt idx="84">
                  <c:v>-1.3826056566796474E-2</c:v>
                </c:pt>
                <c:pt idx="85">
                  <c:v>-1.3954107394663628E-2</c:v>
                </c:pt>
                <c:pt idx="86">
                  <c:v>-1.4081973816420845E-2</c:v>
                </c:pt>
                <c:pt idx="87">
                  <c:v>-1.4209655317488634E-2</c:v>
                </c:pt>
                <c:pt idx="88">
                  <c:v>-1.4337151391121461E-2</c:v>
                </c:pt>
                <c:pt idx="89">
                  <c:v>-1.4464461538069351E-2</c:v>
                </c:pt>
                <c:pt idx="90">
                  <c:v>-1.4591585266229501E-2</c:v>
                </c:pt>
                <c:pt idx="91">
                  <c:v>-1.4718522090447106E-2</c:v>
                </c:pt>
                <c:pt idx="92">
                  <c:v>-1.4845271532118565E-2</c:v>
                </c:pt>
                <c:pt idx="93">
                  <c:v>-1.4971833118866407E-2</c:v>
                </c:pt>
                <c:pt idx="94">
                  <c:v>-1.509820638429793E-2</c:v>
                </c:pt>
                <c:pt idx="95">
                  <c:v>-1.5224390867613513E-2</c:v>
                </c:pt>
                <c:pt idx="96">
                  <c:v>-1.5350386113305969E-2</c:v>
                </c:pt>
                <c:pt idx="97">
                  <c:v>-1.5476191670870332E-2</c:v>
                </c:pt>
                <c:pt idx="98">
                  <c:v>-1.5601807094480336E-2</c:v>
                </c:pt>
                <c:pt idx="99">
                  <c:v>-1.5727231942678666E-2</c:v>
                </c:pt>
                <c:pt idx="100">
                  <c:v>-1.5852465778095404E-2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6-4D82-92BF-93AA450FD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55407"/>
        <c:axId val="2029213567"/>
      </c:scatterChart>
      <c:valAx>
        <c:axId val="44455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213567"/>
        <c:crosses val="autoZero"/>
        <c:crossBetween val="midCat"/>
      </c:valAx>
      <c:valAx>
        <c:axId val="202921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5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4</xdr:row>
          <xdr:rowOff>0</xdr:rowOff>
        </xdr:from>
        <xdr:to>
          <xdr:col>3</xdr:col>
          <xdr:colOff>314325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Grid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157163</xdr:rowOff>
        </xdr:from>
        <xdr:to>
          <xdr:col>3</xdr:col>
          <xdr:colOff>738188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PDE Discrepancy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395186</xdr:colOff>
      <xdr:row>67</xdr:row>
      <xdr:rowOff>459</xdr:rowOff>
    </xdr:from>
    <xdr:to>
      <xdr:col>9</xdr:col>
      <xdr:colOff>176529</xdr:colOff>
      <xdr:row>82</xdr:row>
      <xdr:rowOff>20836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1169426</xdr:colOff>
      <xdr:row>12</xdr:row>
      <xdr:rowOff>129691</xdr:rowOff>
    </xdr:from>
    <xdr:to>
      <xdr:col>7</xdr:col>
      <xdr:colOff>142817</xdr:colOff>
      <xdr:row>27</xdr:row>
      <xdr:rowOff>158266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92927</xdr:colOff>
      <xdr:row>29</xdr:row>
      <xdr:rowOff>180044</xdr:rowOff>
    </xdr:from>
    <xdr:to>
      <xdr:col>4</xdr:col>
      <xdr:colOff>162621</xdr:colOff>
      <xdr:row>34</xdr:row>
      <xdr:rowOff>5807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439329" y="5401371"/>
          <a:ext cx="2933003" cy="7259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Please run Grid for updating</a:t>
          </a:r>
          <a:r>
            <a:rPr lang="en-US" sz="1100" baseline="0"/>
            <a:t> cell B17 and B19 .</a:t>
          </a:r>
          <a:endParaRPr lang="en-US" sz="1100"/>
        </a:p>
      </xdr:txBody>
    </xdr:sp>
    <xdr:clientData/>
  </xdr:twoCellAnchor>
  <xdr:twoCellAnchor>
    <xdr:from>
      <xdr:col>2</xdr:col>
      <xdr:colOff>238124</xdr:colOff>
      <xdr:row>10</xdr:row>
      <xdr:rowOff>133350</xdr:rowOff>
    </xdr:from>
    <xdr:to>
      <xdr:col>6</xdr:col>
      <xdr:colOff>90487</xdr:colOff>
      <xdr:row>25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5C0643-C5D3-4C0B-8E7D-1FDB954032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41"/>
  <sheetViews>
    <sheetView tabSelected="1" zoomScale="82" zoomScaleNormal="47" workbookViewId="0"/>
  </sheetViews>
  <sheetFormatPr defaultRowHeight="14.25" x14ac:dyDescent="0.45"/>
  <cols>
    <col min="1" max="1" width="17.73046875" customWidth="1"/>
    <col min="2" max="2" width="15.1328125" bestFit="1" customWidth="1"/>
    <col min="3" max="3" width="27.86328125" customWidth="1"/>
    <col min="4" max="4" width="12.19921875" bestFit="1" customWidth="1"/>
    <col min="5" max="5" width="11.6640625" bestFit="1" customWidth="1"/>
    <col min="6" max="6" width="14.33203125" customWidth="1"/>
    <col min="7" max="8" width="12.265625" bestFit="1" customWidth="1"/>
    <col min="9" max="19" width="16.796875" bestFit="1" customWidth="1"/>
    <col min="20" max="27" width="16.86328125" bestFit="1" customWidth="1"/>
    <col min="28" max="28" width="10.46484375" customWidth="1"/>
    <col min="29" max="29" width="16.796875" bestFit="1" customWidth="1"/>
    <col min="30" max="30" width="9.265625" customWidth="1"/>
    <col min="31" max="31" width="16.86328125" bestFit="1" customWidth="1"/>
    <col min="32" max="32" width="11.86328125" customWidth="1"/>
    <col min="33" max="45" width="14.19921875" bestFit="1" customWidth="1"/>
    <col min="46" max="46" width="17.06640625" customWidth="1"/>
    <col min="47" max="54" width="9.19921875" bestFit="1" customWidth="1"/>
    <col min="55" max="59" width="9.1328125" bestFit="1" customWidth="1"/>
  </cols>
  <sheetData>
    <row r="1" spans="1:53" x14ac:dyDescent="0.45">
      <c r="A1" t="s">
        <v>0</v>
      </c>
      <c r="B1">
        <v>120</v>
      </c>
      <c r="F1" t="s">
        <v>17</v>
      </c>
      <c r="AD1" t="s">
        <v>25</v>
      </c>
      <c r="AE1" t="s">
        <v>22</v>
      </c>
    </row>
    <row r="2" spans="1:53" x14ac:dyDescent="0.45">
      <c r="A2" t="s">
        <v>1</v>
      </c>
      <c r="B2">
        <v>5.0000000000000001E-3</v>
      </c>
      <c r="E2">
        <v>24</v>
      </c>
      <c r="F2">
        <v>9.5890410958904105E-5</v>
      </c>
      <c r="H2" s="3">
        <v>0</v>
      </c>
      <c r="I2" s="7">
        <v>8.4457608895965842E-4</v>
      </c>
      <c r="J2" s="7">
        <v>1.7025991865083072E-3</v>
      </c>
      <c r="K2" s="7">
        <v>2.5869048611274425E-3</v>
      </c>
      <c r="L2" s="7">
        <v>3.5091491650235027E-3</v>
      </c>
      <c r="M2" s="7">
        <v>4.4793230153940787E-3</v>
      </c>
      <c r="N2" s="7">
        <v>5.5053800964754186E-3</v>
      </c>
      <c r="O2" s="7">
        <v>6.5929985025523583E-3</v>
      </c>
      <c r="P2" s="7">
        <v>7.7454839451489279E-3</v>
      </c>
      <c r="Q2" s="7">
        <v>8.9638097892739601E-3</v>
      </c>
      <c r="R2" s="7">
        <v>1.0246777816079496E-2</v>
      </c>
      <c r="S2" s="7">
        <v>1.1591274567142736E-2</v>
      </c>
      <c r="T2" s="7">
        <v>1.2992592203694156E-2</v>
      </c>
      <c r="U2" s="7">
        <v>1.4444780390886302E-2</v>
      </c>
      <c r="V2" s="7">
        <v>1.5940996748139116E-2</v>
      </c>
      <c r="W2" s="7">
        <v>1.7473827475095637E-2</v>
      </c>
      <c r="X2" s="7">
        <v>1.9035556174563945E-2</v>
      </c>
      <c r="Y2" s="7">
        <v>2.0618366798811908E-2</v>
      </c>
      <c r="Z2" s="7">
        <v>2.221447515585882E-2</v>
      </c>
      <c r="AA2" s="7">
        <v>2.3816191705028911E-2</v>
      </c>
      <c r="AB2" s="7">
        <v>2.5415925754707636E-2</v>
      </c>
      <c r="AD2">
        <v>24</v>
      </c>
      <c r="AE2">
        <f>7/365-(2*F2/0.01)</f>
        <v>0</v>
      </c>
      <c r="AG2" s="4"/>
      <c r="AH2" s="5">
        <v>9.8829608755448842E-2</v>
      </c>
      <c r="AI2" s="5">
        <v>0.19996600110030621</v>
      </c>
      <c r="AJ2" s="5">
        <v>0.30494368421283685</v>
      </c>
      <c r="AK2" s="5">
        <v>0.41518003513447621</v>
      </c>
      <c r="AL2" s="5">
        <v>0.53191527178734255</v>
      </c>
      <c r="AM2" s="5">
        <v>0.6561646538247291</v>
      </c>
      <c r="AN2" s="5">
        <v>0.7886856640847798</v>
      </c>
      <c r="AO2" s="5">
        <v>0.92996150916339682</v>
      </c>
      <c r="AP2" s="5">
        <v>1.0802007978529666</v>
      </c>
      <c r="AQ2" s="5">
        <v>1.2393518708508084</v>
      </c>
      <c r="AR2" s="5">
        <v>1.4071291063384139</v>
      </c>
      <c r="AS2" s="5">
        <v>1.5830477201693154</v>
      </c>
      <c r="AT2" s="5">
        <v>1.766463176066793</v>
      </c>
      <c r="AU2" s="5">
        <v>1.9566113302510597</v>
      </c>
      <c r="AV2" s="5">
        <v>2.1526458203663501</v>
      </c>
      <c r="AW2" s="5">
        <v>2.3536698984500717</v>
      </c>
      <c r="AX2" s="5">
        <v>2.558760807414314</v>
      </c>
      <c r="AY2" s="5">
        <v>2.7669858067867024</v>
      </c>
      <c r="AZ2" s="5">
        <v>2.9774099667577563</v>
      </c>
      <c r="BA2" s="5">
        <v>3.1906261684091146</v>
      </c>
    </row>
    <row r="3" spans="1:53" x14ac:dyDescent="0.45">
      <c r="A3" t="s">
        <v>2</v>
      </c>
      <c r="B3">
        <v>0.02</v>
      </c>
      <c r="E3">
        <v>23</v>
      </c>
      <c r="F3">
        <v>9.1894977168949772E-5</v>
      </c>
      <c r="H3" s="3">
        <v>0</v>
      </c>
      <c r="I3" s="7">
        <v>8.2820415833399883E-4</v>
      </c>
      <c r="J3" s="7">
        <v>1.6706117133417906E-3</v>
      </c>
      <c r="K3" s="7">
        <v>2.5407600448230198E-3</v>
      </c>
      <c r="L3" s="7">
        <v>3.4509033090956986E-3</v>
      </c>
      <c r="M3" s="7">
        <v>4.411487925116293E-3</v>
      </c>
      <c r="N3" s="7">
        <v>5.4307553796396381E-3</v>
      </c>
      <c r="O3" s="7">
        <v>6.514494517143591E-3</v>
      </c>
      <c r="P3" s="7">
        <v>7.6659512876411148E-3</v>
      </c>
      <c r="Q3" s="7">
        <v>8.8858896411090887E-3</v>
      </c>
      <c r="R3" s="7">
        <v>1.0172784443979579E-2</v>
      </c>
      <c r="S3" s="7">
        <v>1.1523117258165757E-2</v>
      </c>
      <c r="T3" s="7">
        <v>1.2931739448318219E-2</v>
      </c>
      <c r="U3" s="7">
        <v>1.4392264754905267E-2</v>
      </c>
      <c r="V3" s="7">
        <v>1.5897455073116191E-2</v>
      </c>
      <c r="W3" s="7">
        <v>1.7439568161972466E-2</v>
      </c>
      <c r="X3" s="7">
        <v>1.9010643521775086E-2</v>
      </c>
      <c r="Y3" s="7">
        <v>2.0602711710321828E-2</v>
      </c>
      <c r="Z3" s="7">
        <v>2.2207921903146025E-2</v>
      </c>
      <c r="AA3" s="7">
        <v>2.3818591632964743E-2</v>
      </c>
      <c r="AB3" s="7">
        <v>2.54271906457334E-2</v>
      </c>
      <c r="AD3">
        <v>23</v>
      </c>
      <c r="AE3">
        <f t="shared" ref="AE3:AE26" si="0">7/365-(2*F3/0.01)</f>
        <v>7.9908675799086892E-4</v>
      </c>
      <c r="AG3" s="4"/>
      <c r="AH3" s="5">
        <v>9.6915753568225835E-2</v>
      </c>
      <c r="AI3" s="5">
        <v>0.19621307240482874</v>
      </c>
      <c r="AJ3" s="5">
        <v>0.29951012835909385</v>
      </c>
      <c r="AK3" s="5">
        <v>0.40829691535907575</v>
      </c>
      <c r="AL3" s="5">
        <v>0.52387038582852841</v>
      </c>
      <c r="AM3" s="5">
        <v>0.64728335736840803</v>
      </c>
      <c r="AN3" s="5">
        <v>0.7793102143025683</v>
      </c>
      <c r="AO3" s="5">
        <v>0.92043080827048485</v>
      </c>
      <c r="AP3" s="5">
        <v>1.0708322754814938</v>
      </c>
      <c r="AQ3" s="5">
        <v>1.2304269231330249</v>
      </c>
      <c r="AR3" s="5">
        <v>1.3988830580369433</v>
      </c>
      <c r="AS3" s="5">
        <v>1.575664755611571</v>
      </c>
      <c r="AT3" s="5">
        <v>1.7600761600037325</v>
      </c>
      <c r="AU3" s="5">
        <v>1.9513059696662749</v>
      </c>
      <c r="AV3" s="5">
        <v>2.1484682472129486</v>
      </c>
      <c r="AW3" s="5">
        <v>2.3506365078055471</v>
      </c>
      <c r="AX3" s="5">
        <v>2.5568690731128072</v>
      </c>
      <c r="AY3" s="5">
        <v>2.7662248089366352</v>
      </c>
      <c r="AZ3" s="5">
        <v>2.9777694834567132</v>
      </c>
      <c r="BA3" s="5">
        <v>3.1920403233148993</v>
      </c>
    </row>
    <row r="4" spans="1:53" x14ac:dyDescent="0.45">
      <c r="A4" t="s">
        <v>3</v>
      </c>
      <c r="B4">
        <v>0.1</v>
      </c>
      <c r="E4">
        <v>22</v>
      </c>
      <c r="F4">
        <v>8.7899543378995438E-5</v>
      </c>
      <c r="H4" s="3">
        <v>0</v>
      </c>
      <c r="I4" s="7">
        <v>8.1089580017142365E-4</v>
      </c>
      <c r="J4" s="7">
        <v>1.6368201329125436E-3</v>
      </c>
      <c r="K4" s="7">
        <v>2.4920739831304222E-3</v>
      </c>
      <c r="L4" s="7">
        <v>3.3895583489312363E-3</v>
      </c>
      <c r="M4" s="7">
        <v>4.3402063102661748E-3</v>
      </c>
      <c r="N4" s="7">
        <v>5.3525583064279059E-3</v>
      </c>
      <c r="O4" s="7">
        <v>6.4325049478940457E-3</v>
      </c>
      <c r="P4" s="7">
        <v>7.5832053968403427E-3</v>
      </c>
      <c r="Q4" s="7">
        <v>8.8051730479035972E-3</v>
      </c>
      <c r="R4" s="7">
        <v>1.0096505772333635E-2</v>
      </c>
      <c r="S4" s="7">
        <v>1.1453226842714086E-2</v>
      </c>
      <c r="T4" s="7">
        <v>1.2869695826401536E-2</v>
      </c>
      <c r="U4" s="7">
        <v>1.4339046604438124E-2</v>
      </c>
      <c r="V4" s="7">
        <v>1.5853612022884423E-2</v>
      </c>
      <c r="W4" s="7">
        <v>1.740530080089343E-2</v>
      </c>
      <c r="X4" s="7">
        <v>1.8985901143533955E-2</v>
      </c>
      <c r="Y4" s="7">
        <v>2.058729583581359E-2</v>
      </c>
      <c r="Z4" s="7">
        <v>2.2201584254566142E-2</v>
      </c>
      <c r="AA4" s="7">
        <v>2.3821116733575703E-2</v>
      </c>
      <c r="AB4" s="7">
        <v>2.5438455310097252E-2</v>
      </c>
      <c r="AD4">
        <v>22</v>
      </c>
      <c r="AE4">
        <f t="shared" si="0"/>
        <v>1.5981735159817344E-3</v>
      </c>
      <c r="AG4" s="4"/>
      <c r="AH4" s="5">
        <v>9.4892239722614458E-2</v>
      </c>
      <c r="AI4" s="5">
        <v>0.19224809734638076</v>
      </c>
      <c r="AJ4" s="5">
        <v>0.29377678196113477</v>
      </c>
      <c r="AK4" s="5">
        <v>0.40104683960689491</v>
      </c>
      <c r="AL4" s="5">
        <v>0.51541589041713698</v>
      </c>
      <c r="AM4" s="5">
        <v>0.63797591364782302</v>
      </c>
      <c r="AN4" s="5">
        <v>0.76951741092723058</v>
      </c>
      <c r="AO4" s="5">
        <v>0.91051391394848924</v>
      </c>
      <c r="AP4" s="5">
        <v>1.0611263740158821</v>
      </c>
      <c r="AQ4" s="5">
        <v>1.2212251993896077</v>
      </c>
      <c r="AR4" s="5">
        <v>1.3904262798920017</v>
      </c>
      <c r="AS4" s="5">
        <v>1.5681363916849587</v>
      </c>
      <c r="AT4" s="5">
        <v>1.7536029735809382</v>
      </c>
      <c r="AU4" s="5">
        <v>1.9459634038020786</v>
      </c>
      <c r="AV4" s="5">
        <v>2.1442895147985714</v>
      </c>
      <c r="AW4" s="5">
        <v>2.3476240496269969</v>
      </c>
      <c r="AX4" s="5">
        <v>2.5550069500969461</v>
      </c>
      <c r="AY4" s="5">
        <v>2.7654906358229114</v>
      </c>
      <c r="AZ4" s="5">
        <v>2.9781446625701782</v>
      </c>
      <c r="BA4" s="5">
        <v>3.1934544497663429</v>
      </c>
    </row>
    <row r="5" spans="1:53" x14ac:dyDescent="0.45">
      <c r="A5" t="s">
        <v>4</v>
      </c>
      <c r="B5" t="s">
        <v>5</v>
      </c>
      <c r="E5">
        <v>21</v>
      </c>
      <c r="F5">
        <v>8.3904109589041104E-5</v>
      </c>
      <c r="H5" s="3">
        <v>0</v>
      </c>
      <c r="I5" s="7">
        <v>7.9256434105523521E-4</v>
      </c>
      <c r="J5" s="7">
        <v>1.601059984712952E-3</v>
      </c>
      <c r="K5" s="7">
        <v>2.4406211011112639E-3</v>
      </c>
      <c r="L5" s="7">
        <v>3.3248500080761984E-3</v>
      </c>
      <c r="M5" s="7">
        <v>4.2652006499566643E-3</v>
      </c>
      <c r="N5" s="7">
        <v>5.2705236369670304E-3</v>
      </c>
      <c r="O5" s="7">
        <v>6.3467995884849086E-3</v>
      </c>
      <c r="P5" s="7">
        <v>7.4970687373224721E-3</v>
      </c>
      <c r="Q5" s="7">
        <v>8.7215461076879004E-3</v>
      </c>
      <c r="R5" s="7">
        <v>1.0017895186146293E-2</v>
      </c>
      <c r="S5" s="7">
        <v>1.1381620625256345E-2</v>
      </c>
      <c r="T5" s="7">
        <v>1.2806533242791233E-2</v>
      </c>
      <c r="U5" s="7">
        <v>1.4285238781024461E-2</v>
      </c>
      <c r="V5" s="7">
        <v>1.5809605224177022E-2</v>
      </c>
      <c r="W5" s="7">
        <v>1.737117099129146E-2</v>
      </c>
      <c r="X5" s="7">
        <v>1.8961466719909181E-2</v>
      </c>
      <c r="Y5" s="7">
        <v>2.0572235175510312E-2</v>
      </c>
      <c r="Z5" s="7">
        <v>2.2195545717337267E-2</v>
      </c>
      <c r="AA5" s="7">
        <v>2.3823810629708737E-2</v>
      </c>
      <c r="AB5" s="7">
        <v>2.5449719747802635E-2</v>
      </c>
      <c r="AD5">
        <v>21</v>
      </c>
      <c r="AE5">
        <f t="shared" si="0"/>
        <v>2.3972602739726033E-3</v>
      </c>
      <c r="AG5" s="4"/>
      <c r="AH5" s="5">
        <v>9.2748917793314539E-2</v>
      </c>
      <c r="AI5" s="5">
        <v>0.18805174658959234</v>
      </c>
      <c r="AJ5" s="5">
        <v>0.28771703474860499</v>
      </c>
      <c r="AK5" s="5">
        <v>0.39339851652378593</v>
      </c>
      <c r="AL5" s="5">
        <v>0.50651880370224611</v>
      </c>
      <c r="AM5" s="5">
        <v>0.62821068233920407</v>
      </c>
      <c r="AN5" s="5">
        <v>0.75927968893797937</v>
      </c>
      <c r="AO5" s="5">
        <v>0.90018948599569326</v>
      </c>
      <c r="AP5" s="5">
        <v>1.0510693464532934</v>
      </c>
      <c r="AQ5" s="5">
        <v>1.2117410446032584</v>
      </c>
      <c r="AR5" s="5">
        <v>1.3817608600953095</v>
      </c>
      <c r="AS5" s="5">
        <v>1.5604713812635049</v>
      </c>
      <c r="AT5" s="5">
        <v>1.7470574119464146</v>
      </c>
      <c r="AU5" s="5">
        <v>1.9406005238682964</v>
      </c>
      <c r="AV5" s="5">
        <v>2.1401275609029868</v>
      </c>
      <c r="AW5" s="5">
        <v>2.3446495497791693</v>
      </c>
      <c r="AX5" s="5">
        <v>2.5531888367550493</v>
      </c>
      <c r="AY5" s="5">
        <v>2.7647936911515871</v>
      </c>
      <c r="AZ5" s="5">
        <v>2.978540958926168</v>
      </c>
      <c r="BA5" s="5">
        <v>3.194868547763877</v>
      </c>
    </row>
    <row r="6" spans="1:53" x14ac:dyDescent="0.45">
      <c r="A6" t="s">
        <v>15</v>
      </c>
      <c r="B6" s="2">
        <v>0.5</v>
      </c>
      <c r="E6">
        <v>20</v>
      </c>
      <c r="F6">
        <v>7.990867579908677E-5</v>
      </c>
      <c r="H6" s="3">
        <v>0</v>
      </c>
      <c r="I6" s="7">
        <v>7.7311174015492275E-4</v>
      </c>
      <c r="J6" s="7">
        <v>1.5631454990783827E-3</v>
      </c>
      <c r="K6" s="7">
        <v>2.3861472164488163E-3</v>
      </c>
      <c r="L6" s="7">
        <v>3.2564815933885474E-3</v>
      </c>
      <c r="M6" s="7">
        <v>4.186161031388828E-3</v>
      </c>
      <c r="N6" s="7">
        <v>5.184357419760568E-3</v>
      </c>
      <c r="O6" s="7">
        <v>6.257126186982021E-3</v>
      </c>
      <c r="P6" s="7">
        <v>7.4073503520153188E-3</v>
      </c>
      <c r="Q6" s="7">
        <v>8.6348908633916456E-3</v>
      </c>
      <c r="R6" s="7">
        <v>9.9369109234523634E-3</v>
      </c>
      <c r="S6" s="7">
        <v>1.1308328210203972E-2</v>
      </c>
      <c r="T6" s="7">
        <v>1.2742341214098977E-2</v>
      </c>
      <c r="U6" s="7">
        <v>1.4230974632812662E-2</v>
      </c>
      <c r="V6" s="7">
        <v>1.5765593374752168E-2</v>
      </c>
      <c r="W6" s="7">
        <v>1.7337344006365316E-2</v>
      </c>
      <c r="X6" s="7">
        <v>1.8937494764759349E-2</v>
      </c>
      <c r="Y6" s="7">
        <v>2.0557658813976278E-2</v>
      </c>
      <c r="Z6" s="7">
        <v>2.2189898661863723E-2</v>
      </c>
      <c r="AA6" s="7">
        <v>2.3826721400019402E-2</v>
      </c>
      <c r="AB6" s="7">
        <v>2.5460983958853878E-2</v>
      </c>
      <c r="AD6">
        <v>20</v>
      </c>
      <c r="AE6">
        <f t="shared" si="0"/>
        <v>3.1963470319634688E-3</v>
      </c>
      <c r="AG6" s="4"/>
      <c r="AH6" s="5">
        <v>9.0474307259332296E-2</v>
      </c>
      <c r="AI6" s="5">
        <v>0.18360218634800013</v>
      </c>
      <c r="AJ6" s="5">
        <v>0.28130090182552236</v>
      </c>
      <c r="AK6" s="5">
        <v>0.38531681661477174</v>
      </c>
      <c r="AL6" s="5">
        <v>0.497142294382793</v>
      </c>
      <c r="AM6" s="5">
        <v>0.61795259829225146</v>
      </c>
      <c r="AN6" s="5">
        <v>0.74856684370079829</v>
      </c>
      <c r="AO6" s="5">
        <v>0.88943457090710731</v>
      </c>
      <c r="AP6" s="5">
        <v>1.0406469559865688</v>
      </c>
      <c r="AQ6" s="5">
        <v>1.2019693903282962</v>
      </c>
      <c r="AR6" s="5">
        <v>1.3728903802835544</v>
      </c>
      <c r="AS6" s="5">
        <v>1.5526806239509465</v>
      </c>
      <c r="AT6" s="5">
        <v>1.7404557793199185</v>
      </c>
      <c r="AU6" s="5">
        <v>1.9352368089065908</v>
      </c>
      <c r="AV6" s="5">
        <v>2.1360027485949358</v>
      </c>
      <c r="AW6" s="5">
        <v>2.3417321170839909</v>
      </c>
      <c r="AX6" s="5">
        <v>2.5514307565360639</v>
      </c>
      <c r="AY6" s="5">
        <v>2.7641454835270718</v>
      </c>
      <c r="AZ6" s="5">
        <v>2.9789643848813614</v>
      </c>
      <c r="BA6" s="5">
        <v>3.1962826173080456</v>
      </c>
    </row>
    <row r="7" spans="1:53" x14ac:dyDescent="0.45">
      <c r="A7" t="s">
        <v>6</v>
      </c>
      <c r="B7">
        <v>119</v>
      </c>
      <c r="E7">
        <v>19</v>
      </c>
      <c r="F7">
        <v>7.5913242009132437E-5</v>
      </c>
      <c r="H7" s="3">
        <v>0</v>
      </c>
      <c r="I7" s="7">
        <v>7.5242674517840341E-4</v>
      </c>
      <c r="J7" s="7">
        <v>1.5228661721460018E-3</v>
      </c>
      <c r="K7" s="7">
        <v>2.328365030890654E-3</v>
      </c>
      <c r="L7" s="7">
        <v>3.1841190396031719E-3</v>
      </c>
      <c r="M7" s="7">
        <v>4.1027404485564122E-3</v>
      </c>
      <c r="N7" s="7">
        <v>5.0937331734834399E-3</v>
      </c>
      <c r="O7" s="7">
        <v>6.1632079878144565E-3</v>
      </c>
      <c r="P7" s="7">
        <v>7.3138449997724869E-3</v>
      </c>
      <c r="Q7" s="7">
        <v>8.5450860073965976E-3</v>
      </c>
      <c r="R7" s="7">
        <v>9.8535180737683494E-3</v>
      </c>
      <c r="S7" s="7">
        <v>1.1233394341531469E-2</v>
      </c>
      <c r="T7" s="7">
        <v>1.2677230023862739E-2</v>
      </c>
      <c r="U7" s="7">
        <v>1.4176410990494062E-2</v>
      </c>
      <c r="V7" s="7">
        <v>1.572175867492754E-2</v>
      </c>
      <c r="W7" s="7">
        <v>1.7304006496968505E-2</v>
      </c>
      <c r="X7" s="7">
        <v>1.8914157609727117E-2</v>
      </c>
      <c r="Y7" s="7">
        <v>2.0543709341303427E-2</v>
      </c>
      <c r="Z7" s="7">
        <v>2.2184744412189088E-2</v>
      </c>
      <c r="AA7" s="7">
        <v>2.3829901558371544E-2</v>
      </c>
      <c r="AB7" s="7">
        <v>2.5472247943254533E-2</v>
      </c>
      <c r="AD7">
        <v>19</v>
      </c>
      <c r="AE7">
        <f t="shared" si="0"/>
        <v>3.9954337899543359E-3</v>
      </c>
      <c r="AG7" s="4"/>
      <c r="AH7" s="5">
        <v>8.8055380564901031E-2</v>
      </c>
      <c r="AI7" s="5">
        <v>0.17887467583129027</v>
      </c>
      <c r="AJ7" s="5">
        <v>0.2744944918126247</v>
      </c>
      <c r="AK7" s="5">
        <v>0.37676218550692658</v>
      </c>
      <c r="AL7" s="5">
        <v>0.48724512299314643</v>
      </c>
      <c r="AM7" s="5">
        <v>0.60716271606578931</v>
      </c>
      <c r="AN7" s="5">
        <v>0.73734573663536984</v>
      </c>
      <c r="AO7" s="5">
        <v>0.87822449815586878</v>
      </c>
      <c r="AP7" s="5">
        <v>1.0298445608673126</v>
      </c>
      <c r="AQ7" s="5">
        <v>1.1919059964869265</v>
      </c>
      <c r="AR7" s="5">
        <v>1.3638202604392429</v>
      </c>
      <c r="AS7" s="5">
        <v>1.5447775507657915</v>
      </c>
      <c r="AT7" s="5">
        <v>1.7338172532091269</v>
      </c>
      <c r="AU7" s="5">
        <v>1.9298946245272812</v>
      </c>
      <c r="AV7" s="5">
        <v>2.1319380764017506</v>
      </c>
      <c r="AW7" s="5">
        <v>2.3388930652076203</v>
      </c>
      <c r="AX7" s="5">
        <v>2.5497504103867357</v>
      </c>
      <c r="AY7" s="5">
        <v>2.7635586378301999</v>
      </c>
      <c r="AZ7" s="5">
        <v>2.9794215078011379</v>
      </c>
      <c r="BA7" s="5">
        <v>3.1976966583992943</v>
      </c>
    </row>
    <row r="8" spans="1:53" x14ac:dyDescent="0.45">
      <c r="A8" t="s">
        <v>7</v>
      </c>
      <c r="B8">
        <v>7</v>
      </c>
      <c r="E8">
        <v>18</v>
      </c>
      <c r="F8">
        <v>7.1917808219178103E-5</v>
      </c>
      <c r="H8" s="3">
        <v>0</v>
      </c>
      <c r="I8" s="7">
        <v>7.303827007865976E-4</v>
      </c>
      <c r="J8" s="7">
        <v>1.4799827065828017E-3</v>
      </c>
      <c r="K8" s="7">
        <v>2.2669487769595214E-3</v>
      </c>
      <c r="L8" s="7">
        <v>3.1073850520468406E-3</v>
      </c>
      <c r="M8" s="7">
        <v>4.0145492630742881E-3</v>
      </c>
      <c r="N8" s="7">
        <v>4.9982874520546261E-3</v>
      </c>
      <c r="O8" s="7">
        <v>6.0647409655736582E-3</v>
      </c>
      <c r="P8" s="7">
        <v>7.2163323429691398E-3</v>
      </c>
      <c r="Q8" s="7">
        <v>8.4520079670636367E-3</v>
      </c>
      <c r="R8" s="7">
        <v>9.7676911912075413E-3</v>
      </c>
      <c r="S8" s="7">
        <v>1.1156882458109483E-2</v>
      </c>
      <c r="T8" s="7">
        <v>1.2611334536964463E-2</v>
      </c>
      <c r="U8" s="7">
        <v>1.4121731622162927E-2</v>
      </c>
      <c r="V8" s="7">
        <v>1.5678309479201017E-2</v>
      </c>
      <c r="W8" s="7">
        <v>1.7271368151535078E-2</v>
      </c>
      <c r="X8" s="7">
        <v>1.8891646138968484E-2</v>
      </c>
      <c r="Y8" s="7">
        <v>2.0530542926537859E-2</v>
      </c>
      <c r="Z8" s="7">
        <v>2.2180193013374618E-2</v>
      </c>
      <c r="AA8" s="7">
        <v>2.3833407841125233E-2</v>
      </c>
      <c r="AB8" s="7">
        <v>2.5483511701008377E-2</v>
      </c>
      <c r="AD8">
        <v>18</v>
      </c>
      <c r="AE8">
        <f t="shared" si="0"/>
        <v>4.7945205479452031E-3</v>
      </c>
      <c r="AG8" s="4"/>
      <c r="AH8" s="5">
        <v>8.5477306481899024E-2</v>
      </c>
      <c r="AI8" s="5">
        <v>0.17384109014656079</v>
      </c>
      <c r="AJ8" s="5">
        <v>0.26725937533728406</v>
      </c>
      <c r="AK8" s="5">
        <v>0.36768995042803893</v>
      </c>
      <c r="AL8" s="5">
        <v>0.47678098361282956</v>
      </c>
      <c r="AM8" s="5">
        <v>0.59579768089536933</v>
      </c>
      <c r="AN8" s="5">
        <v>0.72557996397643609</v>
      </c>
      <c r="AO8" s="5">
        <v>0.86653278246882093</v>
      </c>
      <c r="AP8" s="5">
        <v>1.018647245194658</v>
      </c>
      <c r="AQ8" s="5">
        <v>1.1815477675472048</v>
      </c>
      <c r="AR8" s="5">
        <v>1.3545581907276516</v>
      </c>
      <c r="AS8" s="5">
        <v>1.5367785892073798</v>
      </c>
      <c r="AT8" s="5">
        <v>1.7271643072446765</v>
      </c>
      <c r="AU8" s="5">
        <v>1.9245995486987648</v>
      </c>
      <c r="AV8" s="5">
        <v>2.1279593830875667</v>
      </c>
      <c r="AW8" s="5">
        <v>2.3361560037378162</v>
      </c>
      <c r="AX8" s="5">
        <v>2.5481671860325052</v>
      </c>
      <c r="AY8" s="5">
        <v>2.7630468663513903</v>
      </c>
      <c r="AZ8" s="5">
        <v>2.97991942351935</v>
      </c>
      <c r="BA8" s="5">
        <v>3.1991106710380977</v>
      </c>
    </row>
    <row r="9" spans="1:53" x14ac:dyDescent="0.45">
      <c r="A9" t="s">
        <v>8</v>
      </c>
      <c r="B9">
        <v>20</v>
      </c>
      <c r="E9">
        <v>17</v>
      </c>
      <c r="F9">
        <v>6.7922374429223769E-5</v>
      </c>
      <c r="H9" s="3">
        <v>0</v>
      </c>
      <c r="I9" s="7">
        <v>7.0683495759948326E-4</v>
      </c>
      <c r="J9" s="7">
        <v>1.4342221802562632E-3</v>
      </c>
      <c r="K9" s="7">
        <v>2.2015278765398867E-3</v>
      </c>
      <c r="L9" s="7">
        <v>3.0258521339536358E-3</v>
      </c>
      <c r="M9" s="7">
        <v>3.9211486619014435E-3</v>
      </c>
      <c r="N9" s="7">
        <v>4.8976146407726743E-3</v>
      </c>
      <c r="O9" s="7">
        <v>5.9613906937302742E-3</v>
      </c>
      <c r="P9" s="7">
        <v>7.1145762203141593E-3</v>
      </c>
      <c r="Q9" s="7">
        <v>8.3555324935844708E-3</v>
      </c>
      <c r="R9" s="7">
        <v>9.6794177196537542E-3</v>
      </c>
      <c r="S9" s="7">
        <v>1.1078879169092396E-2</v>
      </c>
      <c r="T9" s="7">
        <v>1.2544818854492854E-2</v>
      </c>
      <c r="U9" s="7">
        <v>1.4067151266876646E-2</v>
      </c>
      <c r="V9" s="7">
        <v>1.5635483174828435E-2</v>
      </c>
      <c r="W9" s="7">
        <v>1.7239663224825015E-2</v>
      </c>
      <c r="X9" s="7">
        <v>1.887017012311645E-2</v>
      </c>
      <c r="Y9" s="7">
        <v>2.0518328869817686E-2</v>
      </c>
      <c r="Z9" s="7">
        <v>2.2176362526956147E-2</v>
      </c>
      <c r="AA9" s="7">
        <v>2.3837300716979086E-2</v>
      </c>
      <c r="AB9" s="7">
        <v>2.5494775232119182E-2</v>
      </c>
      <c r="AD9">
        <v>17</v>
      </c>
      <c r="AE9">
        <f t="shared" si="0"/>
        <v>5.5936073059360686E-3</v>
      </c>
      <c r="AG9" s="4"/>
      <c r="AH9" s="5">
        <v>8.2723146697463112E-2</v>
      </c>
      <c r="AI9" s="5">
        <v>0.16846935245353387</v>
      </c>
      <c r="AJ9" s="5">
        <v>0.25955183695161788</v>
      </c>
      <c r="AK9" s="5">
        <v>0.35804949461679497</v>
      </c>
      <c r="AL9" s="5">
        <v>0.4656977263629023</v>
      </c>
      <c r="AM9" s="5">
        <v>0.58380910793806129</v>
      </c>
      <c r="AN9" s="5">
        <v>0.71322948181649526</v>
      </c>
      <c r="AO9" s="5">
        <v>0.85433103632332685</v>
      </c>
      <c r="AP9" s="5">
        <v>1.0070400103822907</v>
      </c>
      <c r="AQ9" s="5">
        <v>1.1708931669714462</v>
      </c>
      <c r="AR9" s="5">
        <v>1.345114675091664</v>
      </c>
      <c r="AS9" s="5">
        <v>1.5287037307937894</v>
      </c>
      <c r="AT9" s="5">
        <v>1.7205232048454508</v>
      </c>
      <c r="AU9" s="5">
        <v>1.9193807254367634</v>
      </c>
      <c r="AV9" s="5">
        <v>2.124095536293352</v>
      </c>
      <c r="AW9" s="5">
        <v>2.3335468797122214</v>
      </c>
      <c r="AX9" s="5">
        <v>2.5467021025579881</v>
      </c>
      <c r="AY9" s="5">
        <v>2.7626248811306091</v>
      </c>
      <c r="AZ9" s="5">
        <v>2.9804656951048578</v>
      </c>
      <c r="BA9" s="5">
        <v>3.2005246552249282</v>
      </c>
    </row>
    <row r="10" spans="1:53" x14ac:dyDescent="0.45">
      <c r="A10" s="1" t="s">
        <v>9</v>
      </c>
      <c r="B10">
        <v>24</v>
      </c>
      <c r="E10">
        <v>16</v>
      </c>
      <c r="F10">
        <v>6.3926940639269435E-5</v>
      </c>
      <c r="H10" s="3">
        <v>0</v>
      </c>
      <c r="I10" s="7">
        <v>6.8161779168114591E-4</v>
      </c>
      <c r="J10" s="7">
        <v>1.3852723612934898E-3</v>
      </c>
      <c r="K10" s="7">
        <v>2.1316793629166707E-3</v>
      </c>
      <c r="L10" s="7">
        <v>2.9390343250646567E-3</v>
      </c>
      <c r="M10" s="7">
        <v>3.8220428273233477E-3</v>
      </c>
      <c r="N10" s="7">
        <v>4.7912608245292863E-3</v>
      </c>
      <c r="O10" s="7">
        <v>5.8527887440690783E-3</v>
      </c>
      <c r="P10" s="7">
        <v>7.0083240385584089E-3</v>
      </c>
      <c r="Q10" s="7">
        <v>8.2555369332164338E-3</v>
      </c>
      <c r="R10" s="7">
        <v>9.5887024707696344E-3</v>
      </c>
      <c r="S10" s="7">
        <v>1.0999499946685429E-2</v>
      </c>
      <c r="T10" s="7">
        <v>1.2477882035987015E-2</v>
      </c>
      <c r="U10" s="7">
        <v>1.4012920384463742E-2</v>
      </c>
      <c r="V10" s="7">
        <v>1.5593549283211352E-2</v>
      </c>
      <c r="W10" s="7">
        <v>1.720915180943967E-2</v>
      </c>
      <c r="X10" s="7">
        <v>1.8849957940307239E-2</v>
      </c>
      <c r="Y10" s="7">
        <v>2.050724839513824E-2</v>
      </c>
      <c r="Z10" s="7">
        <v>2.2173377652801168E-2</v>
      </c>
      <c r="AA10" s="7">
        <v>2.3841643504489508E-2</v>
      </c>
      <c r="AB10" s="7">
        <v>2.5506038536590947E-2</v>
      </c>
      <c r="AD10">
        <v>16</v>
      </c>
      <c r="AE10">
        <f t="shared" si="0"/>
        <v>6.3926940639269358E-3</v>
      </c>
      <c r="AG10" s="4"/>
      <c r="AH10" s="5">
        <v>7.9773495073898221E-2</v>
      </c>
      <c r="AI10" s="5">
        <v>0.16272276578116854</v>
      </c>
      <c r="AJ10" s="5">
        <v>0.25132198117371979</v>
      </c>
      <c r="AK10" s="5">
        <v>0.34778327913708063</v>
      </c>
      <c r="AL10" s="5">
        <v>0.45393642686678687</v>
      </c>
      <c r="AM10" s="5">
        <v>0.57114285082981542</v>
      </c>
      <c r="AN10" s="5">
        <v>0.70025017495687836</v>
      </c>
      <c r="AO10" s="5">
        <v>0.84158889671114445</v>
      </c>
      <c r="AP10" s="5">
        <v>0.99500804889342398</v>
      </c>
      <c r="AQ10" s="5">
        <v>1.1599427590754221</v>
      </c>
      <c r="AR10" s="5">
        <v>1.3355037227198272</v>
      </c>
      <c r="AS10" s="5">
        <v>1.5205772287407102</v>
      </c>
      <c r="AT10" s="5">
        <v>1.7139245805475132</v>
      </c>
      <c r="AU10" s="5">
        <v>1.9142712458882012</v>
      </c>
      <c r="AV10" s="5">
        <v>2.1203785895056519</v>
      </c>
      <c r="AW10" s="5">
        <v>2.3310939433522502</v>
      </c>
      <c r="AX10" s="5">
        <v>2.5453776607268108</v>
      </c>
      <c r="AY10" s="5">
        <v>2.762308222371316</v>
      </c>
      <c r="AZ10" s="5">
        <v>2.9810682425661414</v>
      </c>
      <c r="BA10" s="5">
        <v>3.2019386109602892</v>
      </c>
    </row>
    <row r="11" spans="1:53" x14ac:dyDescent="0.45">
      <c r="A11" s="1" t="s">
        <v>10</v>
      </c>
      <c r="B11" s="2">
        <v>-0.01</v>
      </c>
      <c r="E11">
        <v>15</v>
      </c>
      <c r="F11">
        <v>5.9931506849315101E-5</v>
      </c>
      <c r="H11" s="3">
        <v>0</v>
      </c>
      <c r="I11" s="7">
        <v>6.5454084870843546E-4</v>
      </c>
      <c r="J11" s="7">
        <v>1.3327749230870364E-3</v>
      </c>
      <c r="K11" s="7">
        <v>2.0569190130827752E-3</v>
      </c>
      <c r="L11" s="7">
        <v>2.8463772198712598E-3</v>
      </c>
      <c r="M11" s="7">
        <v>3.716669631803613E-3</v>
      </c>
      <c r="N11" s="7">
        <v>4.6787163837556586E-3</v>
      </c>
      <c r="O11" s="7">
        <v>5.7385284994605594E-3</v>
      </c>
      <c r="P11" s="7">
        <v>6.8973063318498867E-3</v>
      </c>
      <c r="Q11" s="7">
        <v>8.1519033628307275E-3</v>
      </c>
      <c r="R11" s="7">
        <v>9.4955735487598537E-3</v>
      </c>
      <c r="S11" s="7">
        <v>1.0918896388726307E-2</v>
      </c>
      <c r="T11" s="7">
        <v>1.2410765233873054E-2</v>
      </c>
      <c r="U11" s="7">
        <v>1.3959330778687787E-2</v>
      </c>
      <c r="V11" s="7">
        <v>1.5552812772769957E-2</v>
      </c>
      <c r="W11" s="7">
        <v>1.7180120662680588E-2</v>
      </c>
      <c r="X11" s="7">
        <v>1.8831255388618122E-2</v>
      </c>
      <c r="Y11" s="7">
        <v>2.0497492360647795E-2</v>
      </c>
      <c r="Z11" s="7">
        <v>2.2171367408082246E-2</v>
      </c>
      <c r="AA11" s="7">
        <v>2.3846500945579219E-2</v>
      </c>
      <c r="AB11" s="7">
        <v>2.5517301614427335E-2</v>
      </c>
      <c r="AD11">
        <v>15</v>
      </c>
      <c r="AE11">
        <f t="shared" si="0"/>
        <v>7.191780821917803E-3</v>
      </c>
      <c r="AG11" s="4"/>
      <c r="AH11" s="5">
        <v>7.6606061235345219E-2</v>
      </c>
      <c r="AI11" s="5">
        <v>0.15655921554247543</v>
      </c>
      <c r="AJ11" s="5">
        <v>0.24251268636124634</v>
      </c>
      <c r="AK11" s="5">
        <v>0.33682566099692129</v>
      </c>
      <c r="AL11" s="5">
        <v>0.44143028039774823</v>
      </c>
      <c r="AM11" s="5">
        <v>0.55773811849137267</v>
      </c>
      <c r="AN11" s="5">
        <v>0.68659335551510681</v>
      </c>
      <c r="AO11" s="5">
        <v>0.82827397202568198</v>
      </c>
      <c r="AP11" s="5">
        <v>0.98253712218303835</v>
      </c>
      <c r="AQ11" s="5">
        <v>1.1486999259695421</v>
      </c>
      <c r="AR11" s="5">
        <v>1.3257437302000346</v>
      </c>
      <c r="AS11" s="5">
        <v>1.5124284678197395</v>
      </c>
      <c r="AT11" s="5">
        <v>1.7074041282252572</v>
      </c>
      <c r="AU11" s="5">
        <v>1.9093085554232758</v>
      </c>
      <c r="AV11" s="5">
        <v>2.1168438842558763</v>
      </c>
      <c r="AW11" s="5">
        <v>2.3288276014293565</v>
      </c>
      <c r="AX11" s="5">
        <v>2.5442175589237452</v>
      </c>
      <c r="AY11" s="5">
        <v>2.7621129693692108</v>
      </c>
      <c r="AZ11" s="5">
        <v>2.9817351645203045</v>
      </c>
      <c r="BA11" s="5">
        <v>3.2033525382446393</v>
      </c>
    </row>
    <row r="12" spans="1:53" x14ac:dyDescent="0.45">
      <c r="A12" s="1" t="s">
        <v>12</v>
      </c>
      <c r="B12">
        <v>1.8368249670516579E-3</v>
      </c>
      <c r="E12">
        <v>14</v>
      </c>
      <c r="F12">
        <v>5.5936073059360761E-5</v>
      </c>
      <c r="H12" s="3">
        <v>0</v>
      </c>
      <c r="I12" s="7">
        <v>6.2538491397391704E-4</v>
      </c>
      <c r="J12" s="7">
        <v>1.276317796224653E-3</v>
      </c>
      <c r="K12" s="7">
        <v>1.9766905927724797E-3</v>
      </c>
      <c r="L12" s="7">
        <v>2.7472463245182227E-3</v>
      </c>
      <c r="M12" s="7">
        <v>3.6043891219064536E-3</v>
      </c>
      <c r="N12" s="7">
        <v>4.5594071148963126E-3</v>
      </c>
      <c r="O12" s="7">
        <v>5.6181600870676349E-3</v>
      </c>
      <c r="P12" s="7">
        <v>6.7812364634041973E-3</v>
      </c>
      <c r="Q12" s="7">
        <v>8.0445229900820564E-3</v>
      </c>
      <c r="R12" s="7">
        <v>9.4000901002104457E-3</v>
      </c>
      <c r="S12" s="7">
        <v>1.0837265687236272E-2</v>
      </c>
      <c r="T12" s="7">
        <v>1.2343760621048734E-2</v>
      </c>
      <c r="U12" s="7">
        <v>1.3906722338561781E-2</v>
      </c>
      <c r="V12" s="7">
        <v>1.5513617524571336E-2</v>
      </c>
      <c r="W12" s="7">
        <v>1.7152883314227492E-2</v>
      </c>
      <c r="X12" s="7">
        <v>1.8814323178820268E-2</v>
      </c>
      <c r="Y12" s="7">
        <v>2.0489257453000079E-2</v>
      </c>
      <c r="Z12" s="7">
        <v>2.2170461512672362E-2</v>
      </c>
      <c r="AA12" s="7">
        <v>2.3851937040830197E-2</v>
      </c>
      <c r="AB12" s="7">
        <v>2.5528564465632231E-2</v>
      </c>
      <c r="AD12">
        <v>14</v>
      </c>
      <c r="AE12">
        <f t="shared" si="0"/>
        <v>7.9908675799086702E-3</v>
      </c>
      <c r="AG12" s="4"/>
      <c r="AH12" s="5">
        <v>7.3195175200061566E-2</v>
      </c>
      <c r="AI12" s="5">
        <v>0.14993027056739619</v>
      </c>
      <c r="AJ12" s="5">
        <v>0.23305833594380798</v>
      </c>
      <c r="AK12" s="5">
        <v>0.32510151452741876</v>
      </c>
      <c r="AL12" s="5">
        <v>0.42810323329570704</v>
      </c>
      <c r="AM12" s="5">
        <v>0.54352641593743256</v>
      </c>
      <c r="AN12" s="5">
        <v>0.67220515623344446</v>
      </c>
      <c r="AO12" s="5">
        <v>0.81435180603339574</v>
      </c>
      <c r="AP12" s="5">
        <v>0.96961409111145092</v>
      </c>
      <c r="AQ12" s="5">
        <v>1.1371718053737498</v>
      </c>
      <c r="AR12" s="5">
        <v>1.3158586316272824</v>
      </c>
      <c r="AS12" s="5">
        <v>1.5042930528459137</v>
      </c>
      <c r="AT12" s="5">
        <v>1.701003426161815</v>
      </c>
      <c r="AU12" s="5">
        <v>1.9045348795293675</v>
      </c>
      <c r="AV12" s="5">
        <v>2.1135300637163881</v>
      </c>
      <c r="AW12" s="5">
        <v>2.3267801074073775</v>
      </c>
      <c r="AX12" s="5">
        <v>2.5432462208950666</v>
      </c>
      <c r="AY12" s="5">
        <v>2.7620552902489255</v>
      </c>
      <c r="AZ12" s="5">
        <v>2.9824744675333474</v>
      </c>
      <c r="BA12" s="5">
        <v>3.2047664370784679</v>
      </c>
    </row>
    <row r="13" spans="1:53" x14ac:dyDescent="0.45">
      <c r="A13" s="1" t="s">
        <v>11</v>
      </c>
      <c r="B13">
        <v>2.6736499341033164E-2</v>
      </c>
      <c r="E13">
        <v>13</v>
      </c>
      <c r="F13">
        <v>5.194063926940642E-5</v>
      </c>
      <c r="H13" s="3">
        <v>0</v>
      </c>
      <c r="I13" s="7">
        <v>5.938975380563173E-4</v>
      </c>
      <c r="J13" s="7">
        <v>1.215425851668182E-3</v>
      </c>
      <c r="K13" s="7">
        <v>1.8903541043101193E-3</v>
      </c>
      <c r="L13" s="7">
        <v>2.6409123346923598E-3</v>
      </c>
      <c r="M13" s="7">
        <v>3.4844700111954573E-3</v>
      </c>
      <c r="N13" s="7">
        <v>4.432682791407792E-3</v>
      </c>
      <c r="O13" s="7">
        <v>5.4911841539371353E-3</v>
      </c>
      <c r="P13" s="7">
        <v>6.6598106150438322E-3</v>
      </c>
      <c r="Q13" s="7">
        <v>7.9333019406812814E-3</v>
      </c>
      <c r="R13" s="7">
        <v>9.3023529052585607E-3</v>
      </c>
      <c r="S13" s="7">
        <v>1.075486285574769E-2</v>
      </c>
      <c r="T13" s="7">
        <v>1.2277222854774224E-2</v>
      </c>
      <c r="U13" s="7">
        <v>1.3855491100561576E-2</v>
      </c>
      <c r="V13" s="7">
        <v>1.5476349851427007E-2</v>
      </c>
      <c r="W13" s="7">
        <v>1.7127779034080394E-2</v>
      </c>
      <c r="X13" s="7">
        <v>1.8799432533029639E-2</v>
      </c>
      <c r="Y13" s="7">
        <v>2.0482740299120932E-2</v>
      </c>
      <c r="Z13" s="7">
        <v>2.217078504184445E-2</v>
      </c>
      <c r="AA13" s="7">
        <v>2.3858011910595684E-2</v>
      </c>
      <c r="AB13" s="7">
        <v>2.553982709020941E-2</v>
      </c>
      <c r="AD13">
        <v>13</v>
      </c>
      <c r="AE13">
        <f t="shared" si="0"/>
        <v>8.7899543378995391E-3</v>
      </c>
      <c r="AG13" s="4"/>
      <c r="AH13" s="5">
        <v>6.9511275060299985E-2</v>
      </c>
      <c r="AI13" s="5">
        <v>0.14278008799429054</v>
      </c>
      <c r="AJ13" s="5">
        <v>0.22288343192960874</v>
      </c>
      <c r="AK13" s="5">
        <v>0.31252448822716333</v>
      </c>
      <c r="AL13" s="5">
        <v>0.41386837773595803</v>
      </c>
      <c r="AM13" s="5">
        <v>0.5284301798380594</v>
      </c>
      <c r="AN13" s="5">
        <v>0.65702578520491106</v>
      </c>
      <c r="AO13" s="5">
        <v>0.7997858764114506</v>
      </c>
      <c r="AP13" s="5">
        <v>0.95622761361366193</v>
      </c>
      <c r="AQ13" s="5">
        <v>1.1253705722803902</v>
      </c>
      <c r="AR13" s="5">
        <v>1.3058793838260532</v>
      </c>
      <c r="AS13" s="5">
        <v>1.496214206393035</v>
      </c>
      <c r="AT13" s="5">
        <v>1.6947709237875812</v>
      </c>
      <c r="AU13" s="5">
        <v>1.8999976563202723</v>
      </c>
      <c r="AV13" s="5">
        <v>2.1104789458603372</v>
      </c>
      <c r="AW13" s="5">
        <v>2.3249850172981708</v>
      </c>
      <c r="AX13" s="5">
        <v>2.5424880649244215</v>
      </c>
      <c r="AY13" s="5">
        <v>2.7621507757785517</v>
      </c>
      <c r="AZ13" s="5">
        <v>2.9832936736128248</v>
      </c>
      <c r="BA13" s="5">
        <v>3.206180307462247</v>
      </c>
    </row>
    <row r="14" spans="1:53" x14ac:dyDescent="0.45">
      <c r="A14" s="1" t="s">
        <v>13</v>
      </c>
      <c r="B14">
        <v>117.815930216151</v>
      </c>
      <c r="E14">
        <v>12</v>
      </c>
      <c r="F14">
        <v>4.794520547945208E-5</v>
      </c>
      <c r="H14" s="3">
        <v>0</v>
      </c>
      <c r="I14" s="7">
        <v>5.5978757673478988E-4</v>
      </c>
      <c r="J14" s="7">
        <v>1.1495523824678676E-3</v>
      </c>
      <c r="K14" s="7">
        <v>1.797170354323873E-3</v>
      </c>
      <c r="L14" s="7">
        <v>2.5265355393120619E-3</v>
      </c>
      <c r="M14" s="7">
        <v>3.3560712113555693E-3</v>
      </c>
      <c r="N14" s="7">
        <v>4.2978033491231664E-3</v>
      </c>
      <c r="O14" s="7">
        <v>5.3570435723010717E-3</v>
      </c>
      <c r="P14" s="7">
        <v>6.5327075095755133E-3</v>
      </c>
      <c r="Q14" s="7">
        <v>7.8181698652706379E-3</v>
      </c>
      <c r="R14" s="7">
        <v>9.202518100800635E-3</v>
      </c>
      <c r="S14" s="7">
        <v>1.0672017446913196E-2</v>
      </c>
      <c r="T14" s="7">
        <v>1.2211583604681029E-2</v>
      </c>
      <c r="U14" s="7">
        <v>1.3806099050313648E-2</v>
      </c>
      <c r="V14" s="7">
        <v>1.5441441776915636E-2</v>
      </c>
      <c r="W14" s="7">
        <v>1.7105170002416913E-2</v>
      </c>
      <c r="X14" s="7">
        <v>1.878685810030406E-2</v>
      </c>
      <c r="Y14" s="7">
        <v>2.0478128776523385E-2</v>
      </c>
      <c r="Z14" s="7">
        <v>2.2172450834833494E-2</v>
      </c>
      <c r="AA14" s="7">
        <v>2.3864777424432989E-2</v>
      </c>
      <c r="AB14" s="7">
        <v>2.5551089488162759E-2</v>
      </c>
      <c r="AD14">
        <v>12</v>
      </c>
      <c r="AE14">
        <f t="shared" si="0"/>
        <v>9.589041095890408E-3</v>
      </c>
      <c r="AG14" s="4"/>
      <c r="AH14" s="5">
        <v>6.5520267518600767E-2</v>
      </c>
      <c r="AI14" s="5">
        <v>0.13504441183866142</v>
      </c>
      <c r="AJ14" s="5">
        <v>0.21190077432857712</v>
      </c>
      <c r="AK14" s="5">
        <v>0.29899515794333298</v>
      </c>
      <c r="AL14" s="5">
        <v>0.39862575695807917</v>
      </c>
      <c r="AM14" s="5">
        <v>0.51236113070618394</v>
      </c>
      <c r="AN14" s="5">
        <v>0.64098853279271262</v>
      </c>
      <c r="AO14" s="5">
        <v>0.78453756120072504</v>
      </c>
      <c r="AP14" s="5">
        <v>0.94236918231530575</v>
      </c>
      <c r="AQ14" s="5">
        <v>1.1133150996828001</v>
      </c>
      <c r="AR14" s="5">
        <v>1.2958459969815563</v>
      </c>
      <c r="AS14" s="5">
        <v>1.488244540105317</v>
      </c>
      <c r="AT14" s="5">
        <v>1.6887631413096171</v>
      </c>
      <c r="AU14" s="5">
        <v>1.8957499396232058</v>
      </c>
      <c r="AV14" s="5">
        <v>2.1077351750424702</v>
      </c>
      <c r="AW14" s="5">
        <v>2.3234763136236705</v>
      </c>
      <c r="AX14" s="5">
        <v>2.541966425174683</v>
      </c>
      <c r="AY14" s="5">
        <v>2.7624134935125166</v>
      </c>
      <c r="AZ14" s="5">
        <v>2.984199273636678</v>
      </c>
      <c r="BA14" s="5">
        <v>3.2075941493964653</v>
      </c>
    </row>
    <row r="15" spans="1:53" x14ac:dyDescent="0.45">
      <c r="A15" s="1" t="s">
        <v>14</v>
      </c>
      <c r="B15">
        <v>122.22455803371446</v>
      </c>
      <c r="E15">
        <v>11</v>
      </c>
      <c r="F15">
        <v>4.3949771689497739E-5</v>
      </c>
      <c r="H15" s="3">
        <v>0</v>
      </c>
      <c r="I15" s="7">
        <v>5.2272243844268818E-4</v>
      </c>
      <c r="J15" s="7">
        <v>1.0780666240451855E-3</v>
      </c>
      <c r="K15" s="7">
        <v>1.6962892930839483E-3</v>
      </c>
      <c r="L15" s="7">
        <v>2.403141859082341E-3</v>
      </c>
      <c r="M15" s="7">
        <v>3.2182224063081097E-3</v>
      </c>
      <c r="N15" s="7">
        <v>4.1539180853973571E-3</v>
      </c>
      <c r="O15" s="7">
        <v>5.2151121970202127E-3</v>
      </c>
      <c r="P15" s="7">
        <v>6.3995892080029194E-3</v>
      </c>
      <c r="Q15" s="7">
        <v>7.6990900937040753E-3</v>
      </c>
      <c r="R15" s="7">
        <v>9.1008178466067263E-3</v>
      </c>
      <c r="S15" s="7">
        <v>1.0589155126574662E-2</v>
      </c>
      <c r="T15" s="7">
        <v>1.2147371016765926E-2</v>
      </c>
      <c r="U15" s="7">
        <v>1.3759085676894565E-2</v>
      </c>
      <c r="V15" s="7">
        <v>1.5409373516361844E-2</v>
      </c>
      <c r="W15" s="7">
        <v>1.7085435651559979E-2</v>
      </c>
      <c r="X15" s="7">
        <v>1.8776867080691654E-2</v>
      </c>
      <c r="Y15" s="7">
        <v>2.0475589673970757E-2</v>
      </c>
      <c r="Z15" s="7">
        <v>2.217554915244957E-2</v>
      </c>
      <c r="AA15" s="7">
        <v>2.3872271379095783E-2</v>
      </c>
      <c r="AB15" s="7">
        <v>2.556235165949583E-2</v>
      </c>
      <c r="AD15">
        <v>11</v>
      </c>
      <c r="AE15">
        <f t="shared" si="0"/>
        <v>1.0388127853881275E-2</v>
      </c>
      <c r="AG15" s="4"/>
      <c r="AH15" s="5">
        <v>6.1183205257415482E-2</v>
      </c>
      <c r="AI15" s="5">
        <v>0.12664910606085947</v>
      </c>
      <c r="AJ15" s="5">
        <v>0.20001008507093232</v>
      </c>
      <c r="AK15" s="5">
        <v>0.2843981898653351</v>
      </c>
      <c r="AL15" s="5">
        <v>0.38226005655866296</v>
      </c>
      <c r="AM15" s="5">
        <v>0.49521779201131894</v>
      </c>
      <c r="AN15" s="5">
        <v>0.62401842570239829</v>
      </c>
      <c r="AO15" s="5">
        <v>0.76856623433843674</v>
      </c>
      <c r="AP15" s="5">
        <v>0.92803434879437152</v>
      </c>
      <c r="AQ15" s="5">
        <v>1.1010334594683207</v>
      </c>
      <c r="AR15" s="5">
        <v>1.2858101552200527</v>
      </c>
      <c r="AS15" s="5">
        <v>1.4804484277894214</v>
      </c>
      <c r="AT15" s="5">
        <v>1.6830460838686918</v>
      </c>
      <c r="AU15" s="5">
        <v>1.8918507041360662</v>
      </c>
      <c r="AV15" s="5">
        <v>2.1053455250726625</v>
      </c>
      <c r="AW15" s="5">
        <v>2.3222870603414369</v>
      </c>
      <c r="AX15" s="5">
        <v>2.5417020198572482</v>
      </c>
      <c r="AY15" s="5">
        <v>2.7628546990799676</v>
      </c>
      <c r="AZ15" s="5">
        <v>2.9851959992158359</v>
      </c>
      <c r="BA15" s="5">
        <v>3.2090079628815689</v>
      </c>
    </row>
    <row r="16" spans="1:53" x14ac:dyDescent="0.45">
      <c r="A16" s="1" t="s">
        <v>16</v>
      </c>
      <c r="B16">
        <v>1.1842090898896271</v>
      </c>
      <c r="E16">
        <v>10</v>
      </c>
      <c r="F16">
        <v>3.9954337899543399E-5</v>
      </c>
      <c r="H16" s="3">
        <v>0</v>
      </c>
      <c r="I16" s="7">
        <v>4.8232163795624032E-4</v>
      </c>
      <c r="J16" s="7">
        <v>1.0002540745613073E-3</v>
      </c>
      <c r="K16" s="7">
        <v>1.586724937375902E-3</v>
      </c>
      <c r="L16" s="7">
        <v>2.2696081506573939E-3</v>
      </c>
      <c r="M16" s="7">
        <v>3.0697872527189448E-3</v>
      </c>
      <c r="N16" s="7">
        <v>4.0000420086177095E-3</v>
      </c>
      <c r="O16" s="7">
        <v>5.0646782435515049E-3</v>
      </c>
      <c r="P16" s="7">
        <v>6.2600981198285433E-3</v>
      </c>
      <c r="Q16" s="7">
        <v>7.576079356064528E-3</v>
      </c>
      <c r="R16" s="7">
        <v>8.9975854451115941E-3</v>
      </c>
      <c r="S16" s="7">
        <v>1.0506830274433164E-2</v>
      </c>
      <c r="T16" s="7">
        <v>1.2085234190242827E-2</v>
      </c>
      <c r="U16" s="7">
        <v>1.3715081659313949E-2</v>
      </c>
      <c r="V16" s="7">
        <v>1.5380673935551205E-2</v>
      </c>
      <c r="W16" s="7">
        <v>1.7068962377998261E-2</v>
      </c>
      <c r="X16" s="7">
        <v>1.876970308894085E-2</v>
      </c>
      <c r="Y16" s="7">
        <v>2.0475251836480177E-2</v>
      </c>
      <c r="Z16" s="7">
        <v>2.2180134269495985E-2</v>
      </c>
      <c r="AA16" s="7">
        <v>2.388051019171742E-2</v>
      </c>
      <c r="AB16" s="7">
        <v>2.557361360421273E-2</v>
      </c>
      <c r="AD16">
        <v>10</v>
      </c>
      <c r="AE16">
        <f t="shared" si="0"/>
        <v>1.1187214611872144E-2</v>
      </c>
      <c r="AG16" s="4"/>
      <c r="AH16" s="5">
        <v>5.6455531916533956E-2</v>
      </c>
      <c r="AI16" s="5">
        <v>0.11751019121644886</v>
      </c>
      <c r="AJ16" s="5">
        <v>0.18709504978904259</v>
      </c>
      <c r="AK16" s="5">
        <v>0.26860059973240163</v>
      </c>
      <c r="AL16" s="5">
        <v>0.36463623183131111</v>
      </c>
      <c r="AM16" s="5">
        <v>0.47688266926418044</v>
      </c>
      <c r="AN16" s="5">
        <v>0.60603023719434568</v>
      </c>
      <c r="AO16" s="5">
        <v>0.75182890639960687</v>
      </c>
      <c r="AP16" s="5">
        <v>0.91322510116979505</v>
      </c>
      <c r="AQ16" s="5">
        <v>1.0885659624356929</v>
      </c>
      <c r="AR16" s="5">
        <v>1.2758391764579142</v>
      </c>
      <c r="AS16" s="5">
        <v>1.4729049897400348</v>
      </c>
      <c r="AT16" s="5">
        <v>1.677696916685059</v>
      </c>
      <c r="AU16" s="5">
        <v>1.8883649023374502</v>
      </c>
      <c r="AV16" s="5">
        <v>2.1033576316712219</v>
      </c>
      <c r="AW16" s="5">
        <v>2.3214474070073718</v>
      </c>
      <c r="AX16" s="5">
        <v>2.5417108586629262</v>
      </c>
      <c r="AY16" s="5">
        <v>2.7634811654180127</v>
      </c>
      <c r="AZ16" s="5">
        <v>2.9862859087924352</v>
      </c>
      <c r="BA16" s="5">
        <v>3.2104217479180739</v>
      </c>
    </row>
    <row r="17" spans="1:53" x14ac:dyDescent="0.45">
      <c r="A17" s="1" t="s">
        <v>21</v>
      </c>
      <c r="B17">
        <v>1.2393518708508084</v>
      </c>
      <c r="E17">
        <v>9</v>
      </c>
      <c r="F17">
        <v>3.5958904109589058E-5</v>
      </c>
      <c r="H17" s="3">
        <v>0</v>
      </c>
      <c r="I17" s="7">
        <v>4.3817056079419519E-4</v>
      </c>
      <c r="J17" s="7">
        <v>9.1529667703866993E-4</v>
      </c>
      <c r="K17" s="7">
        <v>1.4673681458217704E-3</v>
      </c>
      <c r="L17" s="7">
        <v>2.1246078677208372E-3</v>
      </c>
      <c r="M17" s="7">
        <v>2.9094413646239188E-3</v>
      </c>
      <c r="N17" s="7">
        <v>3.8350059249561983E-3</v>
      </c>
      <c r="O17" s="7">
        <v>4.9049169523071182E-3</v>
      </c>
      <c r="P17" s="7">
        <v>6.1138637352580721E-3</v>
      </c>
      <c r="Q17" s="7">
        <v>7.4492230850996093E-3</v>
      </c>
      <c r="R17" s="7">
        <v>8.8933039885256519E-3</v>
      </c>
      <c r="S17" s="7">
        <v>1.0425766158652771E-2</v>
      </c>
      <c r="T17" s="7">
        <v>1.2025977692788395E-2</v>
      </c>
      <c r="U17" s="7">
        <v>1.3674823435200363E-2</v>
      </c>
      <c r="V17" s="7">
        <v>1.5355916120310812E-2</v>
      </c>
      <c r="W17" s="7">
        <v>1.7056125889002845E-2</v>
      </c>
      <c r="X17" s="7">
        <v>1.8765562819132824E-2</v>
      </c>
      <c r="Y17" s="7">
        <v>2.0477184176823572E-2</v>
      </c>
      <c r="Z17" s="7">
        <v>2.218620833694376E-2</v>
      </c>
      <c r="AA17" s="7">
        <v>2.3889480570392127E-2</v>
      </c>
      <c r="AB17" s="7">
        <v>2.5584875322317124E-2</v>
      </c>
      <c r="AD17">
        <v>9</v>
      </c>
      <c r="AE17">
        <f t="shared" si="0"/>
        <v>1.1986301369863011E-2</v>
      </c>
      <c r="AG17" s="4"/>
      <c r="AH17" s="5">
        <v>5.1288692681975959E-2</v>
      </c>
      <c r="AI17" s="5">
        <v>0.10753151521562027</v>
      </c>
      <c r="AJ17" s="5">
        <v>0.17302482261893901</v>
      </c>
      <c r="AK17" s="5">
        <v>0.25144532011153731</v>
      </c>
      <c r="AL17" s="5">
        <v>0.34559689070836647</v>
      </c>
      <c r="AM17" s="5">
        <v>0.45721629767001554</v>
      </c>
      <c r="AN17" s="5">
        <v>0.58692521506118023</v>
      </c>
      <c r="AO17" s="5">
        <v>0.73428103290550273</v>
      </c>
      <c r="AP17" s="5">
        <v>0.89795170934593249</v>
      </c>
      <c r="AQ17" s="5">
        <v>1.075971045168377</v>
      </c>
      <c r="AR17" s="5">
        <v>1.2660208924426462</v>
      </c>
      <c r="AS17" s="5">
        <v>1.4657123008909472</v>
      </c>
      <c r="AT17" s="5">
        <v>1.6728057483225665</v>
      </c>
      <c r="AU17" s="5">
        <v>1.8853629211271459</v>
      </c>
      <c r="AV17" s="5">
        <v>2.1018178171372468</v>
      </c>
      <c r="AW17" s="5">
        <v>2.3209817022954704</v>
      </c>
      <c r="AX17" s="5">
        <v>2.5420015126780617</v>
      </c>
      <c r="AY17" s="5">
        <v>2.7642931716296961</v>
      </c>
      <c r="AZ17" s="5">
        <v>2.98746734574835</v>
      </c>
      <c r="BA17" s="5">
        <v>3.2118355045064395</v>
      </c>
    </row>
    <row r="18" spans="1:53" x14ac:dyDescent="0.45">
      <c r="A18" s="1" t="s">
        <v>20</v>
      </c>
      <c r="B18">
        <v>1.2520172607926838</v>
      </c>
      <c r="E18">
        <v>8</v>
      </c>
      <c r="F18">
        <v>3.1963470319634718E-5</v>
      </c>
      <c r="H18" s="3">
        <v>0</v>
      </c>
      <c r="I18" s="7">
        <v>3.8981092363183869E-4</v>
      </c>
      <c r="J18" s="7">
        <v>8.223404447568846E-4</v>
      </c>
      <c r="K18" s="7">
        <v>1.3369175516266105E-3</v>
      </c>
      <c r="L18" s="7">
        <v>1.966643231705895E-3</v>
      </c>
      <c r="M18" s="7">
        <v>2.7355601789896557E-3</v>
      </c>
      <c r="N18" s="7">
        <v>3.6574124214607887E-3</v>
      </c>
      <c r="O18" s="7">
        <v>4.7348542555225972E-3</v>
      </c>
      <c r="P18" s="7">
        <v>5.960477681387734E-3</v>
      </c>
      <c r="Q18" s="7">
        <v>7.3187408566802344E-3</v>
      </c>
      <c r="R18" s="7">
        <v>8.7886527314683504E-3</v>
      </c>
      <c r="S18" s="7">
        <v>1.0346927899195718E-2</v>
      </c>
      <c r="T18" s="7">
        <v>1.1970602924838558E-2</v>
      </c>
      <c r="U18" s="7">
        <v>1.3639165685960776E-2</v>
      </c>
      <c r="V18" s="7">
        <v>1.5335703553926314E-2</v>
      </c>
      <c r="W18" s="7">
        <v>1.7047261158500325E-2</v>
      </c>
      <c r="X18" s="7">
        <v>1.876456316464534E-2</v>
      </c>
      <c r="Y18" s="7">
        <v>2.0481369050634114E-2</v>
      </c>
      <c r="Z18" s="7">
        <v>2.2193704338740326E-2</v>
      </c>
      <c r="AA18" s="7">
        <v>2.3899131624016801E-2</v>
      </c>
      <c r="AB18" s="7">
        <v>2.5596136813812786E-2</v>
      </c>
      <c r="AD18">
        <v>8</v>
      </c>
      <c r="AE18">
        <f t="shared" si="0"/>
        <v>1.2785388127853878E-2</v>
      </c>
      <c r="AG18" s="4"/>
      <c r="AH18" s="5">
        <v>4.5629017237890868E-2</v>
      </c>
      <c r="AI18" s="5">
        <v>9.6612697079738283E-2</v>
      </c>
      <c r="AJ18" s="5">
        <v>0.15764588051631601</v>
      </c>
      <c r="AK18" s="5">
        <v>0.23275500544265135</v>
      </c>
      <c r="AL18" s="5">
        <v>0.32494897141625295</v>
      </c>
      <c r="AM18" s="5">
        <v>0.43605199205474671</v>
      </c>
      <c r="AN18" s="5">
        <v>0.56658673254655856</v>
      </c>
      <c r="AO18" s="5">
        <v>0.71587351833226154</v>
      </c>
      <c r="AP18" s="5">
        <v>0.88224061438668244</v>
      </c>
      <c r="AQ18" s="5">
        <v>1.0633308824265006</v>
      </c>
      <c r="AR18" s="5">
        <v>1.2564725110571964</v>
      </c>
      <c r="AS18" s="5">
        <v>1.4589924342415548</v>
      </c>
      <c r="AT18" s="5">
        <v>1.668477159288964</v>
      </c>
      <c r="AU18" s="5">
        <v>1.8829188852308749</v>
      </c>
      <c r="AV18" s="5">
        <v>2.1007673878206257</v>
      </c>
      <c r="AW18" s="5">
        <v>2.3209044266344674</v>
      </c>
      <c r="AX18" s="5">
        <v>2.5425718084081215</v>
      </c>
      <c r="AY18" s="5">
        <v>2.7652823787945207</v>
      </c>
      <c r="AZ18" s="5">
        <v>2.988733951321108</v>
      </c>
      <c r="BA18" s="5">
        <v>3.2132492326471396</v>
      </c>
    </row>
    <row r="19" spans="1:53" x14ac:dyDescent="0.45">
      <c r="A19" s="1" t="s">
        <v>27</v>
      </c>
      <c r="B19">
        <v>-1.2665389941875382E-2</v>
      </c>
      <c r="E19">
        <v>7</v>
      </c>
      <c r="F19">
        <v>2.7968036529680377E-5</v>
      </c>
      <c r="H19" s="3">
        <v>0</v>
      </c>
      <c r="I19" s="7">
        <v>3.3685170733953123E-4</v>
      </c>
      <c r="J19" s="7">
        <v>7.2042715763815388E-4</v>
      </c>
      <c r="K19" s="7">
        <v>1.1940754492160612E-3</v>
      </c>
      <c r="L19" s="7">
        <v>1.793819899836656E-3</v>
      </c>
      <c r="M19" s="7">
        <v>2.5462528422324107E-3</v>
      </c>
      <c r="N19" s="7">
        <v>3.4654699348892135E-3</v>
      </c>
      <c r="O19" s="7">
        <v>4.553267362044095E-3</v>
      </c>
      <c r="P19" s="7">
        <v>5.7995636561572498E-3</v>
      </c>
      <c r="Q19" s="7">
        <v>7.1849864397687752E-3</v>
      </c>
      <c r="R19" s="7">
        <v>8.6846571464548189E-3</v>
      </c>
      <c r="S19" s="7">
        <v>1.0271601761269259E-2</v>
      </c>
      <c r="T19" s="7">
        <v>1.1920364149867843E-2</v>
      </c>
      <c r="U19" s="7">
        <v>1.3609086614745356E-2</v>
      </c>
      <c r="V19" s="7">
        <v>1.5320634243563185E-2</v>
      </c>
      <c r="W19" s="7">
        <v>1.7042612557478951E-2</v>
      </c>
      <c r="X19" s="7">
        <v>1.8766697449960689E-2</v>
      </c>
      <c r="Y19" s="7">
        <v>2.0487673887471591E-2</v>
      </c>
      <c r="Z19" s="7">
        <v>2.2202472741067941E-2</v>
      </c>
      <c r="AA19" s="7">
        <v>2.3909370722266721E-2</v>
      </c>
      <c r="AB19" s="7">
        <v>2.5607398078703714E-2</v>
      </c>
      <c r="AD19">
        <v>7</v>
      </c>
      <c r="AE19">
        <f t="shared" si="0"/>
        <v>1.3584474885844747E-2</v>
      </c>
      <c r="AG19" s="4"/>
      <c r="AH19" s="5">
        <v>3.9430704696519686E-2</v>
      </c>
      <c r="AI19" s="5">
        <v>8.4641101706358399E-2</v>
      </c>
      <c r="AJ19" s="5">
        <v>0.14080511990203098</v>
      </c>
      <c r="AK19" s="5">
        <v>0.21230536112517912</v>
      </c>
      <c r="AL19" s="5">
        <v>0.30246776427130617</v>
      </c>
      <c r="AM19" s="5">
        <v>0.41317606074434648</v>
      </c>
      <c r="AN19" s="5">
        <v>0.54486839000264375</v>
      </c>
      <c r="AO19" s="5">
        <v>0.696561115128428</v>
      </c>
      <c r="AP19" s="5">
        <v>0.86613443615428365</v>
      </c>
      <c r="AQ19" s="5">
        <v>1.0507695449535768</v>
      </c>
      <c r="AR19" s="5">
        <v>1.2473502483947922</v>
      </c>
      <c r="AS19" s="5">
        <v>1.4528982924322784</v>
      </c>
      <c r="AT19" s="5">
        <v>1.664830849146667</v>
      </c>
      <c r="AU19" s="5">
        <v>1.8811062529245719</v>
      </c>
      <c r="AV19" s="5">
        <v>2.1002364879703093</v>
      </c>
      <c r="AW19" s="5">
        <v>2.3212147776230507</v>
      </c>
      <c r="AX19" s="5">
        <v>2.543405304894216</v>
      </c>
      <c r="AY19" s="5">
        <v>2.7664301656039849</v>
      </c>
      <c r="AZ19" s="5">
        <v>2.9900741463882743</v>
      </c>
      <c r="BA19" s="5">
        <v>3.2146629323406763</v>
      </c>
    </row>
    <row r="20" spans="1:53" x14ac:dyDescent="0.45">
      <c r="E20">
        <v>6</v>
      </c>
      <c r="F20">
        <v>2.3972602739726037E-5</v>
      </c>
      <c r="H20" s="3">
        <v>0</v>
      </c>
      <c r="I20" s="7">
        <v>2.7893822609221397E-4</v>
      </c>
      <c r="J20" s="7">
        <v>6.0896226286204246E-4</v>
      </c>
      <c r="K20" s="7">
        <v>1.0371655089874967E-3</v>
      </c>
      <c r="L20" s="7">
        <v>1.6042763721233406E-3</v>
      </c>
      <c r="M20" s="7">
        <v>2.3388170896976694E-3</v>
      </c>
      <c r="N20" s="7">
        <v>3.2569100195769122E-3</v>
      </c>
      <c r="O20" s="7">
        <v>4.3586575658513165E-3</v>
      </c>
      <c r="P20" s="7">
        <v>5.6305809663029158E-3</v>
      </c>
      <c r="Q20" s="7">
        <v>7.0487712107426895E-3</v>
      </c>
      <c r="R20" s="7">
        <v>8.5827661979573176E-3</v>
      </c>
      <c r="S20" s="7">
        <v>1.0201569976572584E-2</v>
      </c>
      <c r="T20" s="7">
        <v>1.1876832027913696E-2</v>
      </c>
      <c r="U20" s="7">
        <v>1.358565500923367E-2</v>
      </c>
      <c r="V20" s="7">
        <v>1.5311226252812704E-2</v>
      </c>
      <c r="W20" s="7">
        <v>1.7042255881612216E-2</v>
      </c>
      <c r="X20" s="7">
        <v>1.8771781318484712E-2</v>
      </c>
      <c r="Y20" s="7">
        <v>2.0495829110850464E-2</v>
      </c>
      <c r="Z20" s="7">
        <v>2.221228120427305E-2</v>
      </c>
      <c r="AA20" s="7">
        <v>2.3920068745475483E-2</v>
      </c>
      <c r="AB20" s="7">
        <v>2.5618659116993459E-2</v>
      </c>
      <c r="AD20">
        <v>6</v>
      </c>
      <c r="AE20">
        <f t="shared" si="0"/>
        <v>1.4383561643835616E-2</v>
      </c>
      <c r="AG20" s="4"/>
      <c r="AH20" s="5">
        <v>3.2652203648251915E-2</v>
      </c>
      <c r="AI20" s="5">
        <v>7.1546812162742932E-2</v>
      </c>
      <c r="AJ20" s="5">
        <v>0.12230477680981326</v>
      </c>
      <c r="AK20" s="5">
        <v>0.18987596178442037</v>
      </c>
      <c r="AL20" s="5">
        <v>0.27783215270395467</v>
      </c>
      <c r="AM20" s="5">
        <v>0.38831793680557247</v>
      </c>
      <c r="AN20" s="5">
        <v>0.52159075797368404</v>
      </c>
      <c r="AO20" s="5">
        <v>0.67627882740078615</v>
      </c>
      <c r="AP20" s="5">
        <v>0.84973096259506897</v>
      </c>
      <c r="AQ20" s="5">
        <v>1.0384623533510811</v>
      </c>
      <c r="AR20" s="5">
        <v>1.238870562808382</v>
      </c>
      <c r="AS20" s="5">
        <v>1.4476213546803594</v>
      </c>
      <c r="AT20" s="5">
        <v>1.661997608656959</v>
      </c>
      <c r="AU20" s="5">
        <v>1.8799886724823589</v>
      </c>
      <c r="AV20" s="5">
        <v>2.1002344895465948</v>
      </c>
      <c r="AW20" s="5">
        <v>2.3218899753435349</v>
      </c>
      <c r="AX20" s="5">
        <v>2.5444685511549467</v>
      </c>
      <c r="AY20" s="5">
        <v>2.7677075914401903</v>
      </c>
      <c r="AZ20" s="5">
        <v>2.9914717875021593</v>
      </c>
      <c r="BA20" s="5">
        <v>3.2160766035874953</v>
      </c>
    </row>
    <row r="21" spans="1:53" x14ac:dyDescent="0.45">
      <c r="E21">
        <v>5</v>
      </c>
      <c r="F21">
        <v>1.9977168949771696E-5</v>
      </c>
      <c r="H21" s="3">
        <v>0</v>
      </c>
      <c r="I21" s="7">
        <v>2.1634881787365324E-4</v>
      </c>
      <c r="J21" s="7">
        <v>4.8731850939246526E-4</v>
      </c>
      <c r="K21" s="7">
        <v>8.6555202439188002E-4</v>
      </c>
      <c r="L21" s="7">
        <v>1.3947143812643814E-3</v>
      </c>
      <c r="M21" s="7">
        <v>2.1103742309010651E-3</v>
      </c>
      <c r="N21" s="7">
        <v>3.0282969421872078E-3</v>
      </c>
      <c r="O21" s="7">
        <v>4.1486675916718426E-3</v>
      </c>
      <c r="P21" s="7">
        <v>5.4535125513333615E-3</v>
      </c>
      <c r="Q21" s="7">
        <v>6.911139908363324E-3</v>
      </c>
      <c r="R21" s="7">
        <v>8.4854067819209785E-3</v>
      </c>
      <c r="S21" s="7">
        <v>1.013929429950044E-2</v>
      </c>
      <c r="T21" s="7">
        <v>1.1841900370986841E-2</v>
      </c>
      <c r="U21" s="7">
        <v>1.3569941271309434E-2</v>
      </c>
      <c r="V21" s="7">
        <v>1.5307772698947179E-2</v>
      </c>
      <c r="W21" s="7">
        <v>1.7045978417190057E-2</v>
      </c>
      <c r="X21" s="7">
        <v>1.8779401370758078E-2</v>
      </c>
      <c r="Y21" s="7">
        <v>2.0505432531605208E-2</v>
      </c>
      <c r="Z21" s="7">
        <v>2.2222840261113999E-2</v>
      </c>
      <c r="AA21" s="7">
        <v>2.3931079447435898E-2</v>
      </c>
      <c r="AB21" s="7">
        <v>2.5629919928686018E-2</v>
      </c>
      <c r="AD21">
        <v>5</v>
      </c>
      <c r="AE21">
        <f t="shared" si="0"/>
        <v>1.5182648401826484E-2</v>
      </c>
      <c r="AG21" s="4"/>
      <c r="AH21" s="5">
        <v>2.5326061919429835E-2</v>
      </c>
      <c r="AI21" s="5">
        <v>5.7256064150357028E-2</v>
      </c>
      <c r="AJ21" s="5">
        <v>0.10206978642302039</v>
      </c>
      <c r="AK21" s="5">
        <v>0.16507631080296845</v>
      </c>
      <c r="AL21" s="5">
        <v>0.25070003613868547</v>
      </c>
      <c r="AM21" s="5">
        <v>0.36106785443357087</v>
      </c>
      <c r="AN21" s="5">
        <v>0.4964716475631939</v>
      </c>
      <c r="AO21" s="5">
        <v>0.65502454789975295</v>
      </c>
      <c r="AP21" s="5">
        <v>0.83315612192062238</v>
      </c>
      <c r="AQ21" s="5">
        <v>1.0267029683365119</v>
      </c>
      <c r="AR21" s="5">
        <v>1.2313324522924465</v>
      </c>
      <c r="AS21" s="5">
        <v>1.4433925040399638</v>
      </c>
      <c r="AT21" s="5">
        <v>1.6601084365081049</v>
      </c>
      <c r="AU21" s="5">
        <v>1.8796021766809656</v>
      </c>
      <c r="AV21" s="5">
        <v>2.1007352095500753</v>
      </c>
      <c r="AW21" s="5">
        <v>2.3228789070772065</v>
      </c>
      <c r="AX21" s="5">
        <v>2.5457116299155946</v>
      </c>
      <c r="AY21" s="5">
        <v>2.7690785949850438</v>
      </c>
      <c r="AZ21" s="5">
        <v>2.9929085880168609</v>
      </c>
      <c r="BA21" s="5">
        <v>3.2174902463880986</v>
      </c>
    </row>
    <row r="22" spans="1:53" x14ac:dyDescent="0.45">
      <c r="E22">
        <v>4</v>
      </c>
      <c r="F22">
        <v>1.5981735159817355E-5</v>
      </c>
      <c r="H22" s="3">
        <v>0</v>
      </c>
      <c r="I22" s="7">
        <v>1.5010766664715883E-4</v>
      </c>
      <c r="J22" s="7">
        <v>3.5746853964404977E-4</v>
      </c>
      <c r="K22" s="7">
        <v>6.7686802630092407E-4</v>
      </c>
      <c r="L22" s="7">
        <v>1.1640053655086551E-3</v>
      </c>
      <c r="M22" s="7">
        <v>1.854287577857753E-3</v>
      </c>
      <c r="N22" s="7">
        <v>2.7748093560926884E-3</v>
      </c>
      <c r="O22" s="7">
        <v>3.920996083048695E-3</v>
      </c>
      <c r="P22" s="7">
        <v>5.2672208474646171E-3</v>
      </c>
      <c r="Q22" s="7">
        <v>6.7752895849043492E-3</v>
      </c>
      <c r="R22" s="7">
        <v>8.3961551859604352E-3</v>
      </c>
      <c r="S22" s="7">
        <v>1.0088136354568412E-2</v>
      </c>
      <c r="T22" s="7">
        <v>1.1817799158845432E-2</v>
      </c>
      <c r="U22" s="7">
        <v>1.3562731453054243E-2</v>
      </c>
      <c r="V22" s="7">
        <v>1.5310049816660006E-2</v>
      </c>
      <c r="W22" s="7">
        <v>1.705314808619186E-2</v>
      </c>
      <c r="X22" s="7">
        <v>1.8788920331396682E-2</v>
      </c>
      <c r="Y22" s="7">
        <v>2.0516007882965599E-2</v>
      </c>
      <c r="Z22" s="7">
        <v>2.2233858250799616E-2</v>
      </c>
      <c r="AA22" s="7">
        <v>2.3942268978891214E-2</v>
      </c>
      <c r="AB22" s="7">
        <v>2.5641180513785056E-2</v>
      </c>
      <c r="AD22">
        <v>4</v>
      </c>
      <c r="AE22">
        <f t="shared" si="0"/>
        <v>1.5981735159817351E-2</v>
      </c>
      <c r="AG22" s="4"/>
      <c r="AH22" s="5">
        <v>1.7572141341635227E-2</v>
      </c>
      <c r="AI22" s="5">
        <v>4.2000560464529088E-2</v>
      </c>
      <c r="AJ22" s="5">
        <v>7.9820915584576962E-2</v>
      </c>
      <c r="AK22" s="5">
        <v>0.1377726886019667</v>
      </c>
      <c r="AL22" s="5">
        <v>0.22028284976760432</v>
      </c>
      <c r="AM22" s="5">
        <v>0.33085080327617389</v>
      </c>
      <c r="AN22" s="5">
        <v>0.46923553927522871</v>
      </c>
      <c r="AO22" s="5">
        <v>0.63266158222224922</v>
      </c>
      <c r="AP22" s="5">
        <v>0.81679532465330063</v>
      </c>
      <c r="AQ22" s="5">
        <v>1.0159241490300581</v>
      </c>
      <c r="AR22" s="5">
        <v>1.2251442226123874</v>
      </c>
      <c r="AS22" s="5">
        <v>1.4404836178433598</v>
      </c>
      <c r="AT22" s="5">
        <v>1.6592595546047344</v>
      </c>
      <c r="AU22" s="5">
        <v>1.8799193332197983</v>
      </c>
      <c r="AV22" s="5">
        <v>2.1016607796725251</v>
      </c>
      <c r="AW22" s="5">
        <v>2.3241027636010263</v>
      </c>
      <c r="AX22" s="5">
        <v>2.547075423130305</v>
      </c>
      <c r="AY22" s="5">
        <v>2.7705068387056446</v>
      </c>
      <c r="AZ22" s="5">
        <v>2.9943678102641393</v>
      </c>
      <c r="BA22" s="5">
        <v>3.2189038607429454</v>
      </c>
    </row>
    <row r="23" spans="1:53" x14ac:dyDescent="0.45">
      <c r="E23">
        <v>3</v>
      </c>
      <c r="F23">
        <v>1.1986301369863017E-5</v>
      </c>
      <c r="H23" s="3">
        <v>0</v>
      </c>
      <c r="I23" s="7">
        <v>8.4039349145965746E-5</v>
      </c>
      <c r="J23" s="7">
        <v>2.2240767462473733E-4</v>
      </c>
      <c r="K23" s="7">
        <v>4.7684045738330476E-4</v>
      </c>
      <c r="L23" s="7">
        <v>9.0136013598280968E-4</v>
      </c>
      <c r="M23" s="7">
        <v>1.5663140893603844E-3</v>
      </c>
      <c r="N23" s="7">
        <v>2.4873842918107947E-3</v>
      </c>
      <c r="O23" s="7">
        <v>3.668219131811395E-3</v>
      </c>
      <c r="P23" s="7">
        <v>5.0759286365014249E-3</v>
      </c>
      <c r="Q23" s="7">
        <v>6.6448658496745363E-3</v>
      </c>
      <c r="R23" s="7">
        <v>8.3212776636936627E-3</v>
      </c>
      <c r="S23" s="7">
        <v>1.0053033878938458E-2</v>
      </c>
      <c r="T23" s="7">
        <v>1.1806392711488875E-2</v>
      </c>
      <c r="U23" s="7">
        <v>1.356374629967686E-2</v>
      </c>
      <c r="V23" s="7">
        <v>1.5316999853204028E-2</v>
      </c>
      <c r="W23" s="7">
        <v>1.7062735647070722E-2</v>
      </c>
      <c r="X23" s="7">
        <v>1.8799605120583578E-2</v>
      </c>
      <c r="Y23" s="7">
        <v>2.052711384410567E-2</v>
      </c>
      <c r="Z23" s="7">
        <v>2.2245102994241171E-2</v>
      </c>
      <c r="AA23" s="7">
        <v>2.3953540638826334E-2</v>
      </c>
      <c r="AB23" s="7">
        <v>2.5652440872294457E-2</v>
      </c>
      <c r="AD23">
        <v>3</v>
      </c>
      <c r="AE23">
        <f t="shared" si="0"/>
        <v>1.678082191780822E-2</v>
      </c>
      <c r="AG23" s="4"/>
      <c r="AH23" s="5">
        <v>9.8381438872710454E-3</v>
      </c>
      <c r="AI23" s="5">
        <v>2.6132183852281339E-2</v>
      </c>
      <c r="AJ23" s="5">
        <v>5.6233417435237215E-2</v>
      </c>
      <c r="AK23" s="5">
        <v>0.10668790184181104</v>
      </c>
      <c r="AL23" s="5">
        <v>0.18607632828350454</v>
      </c>
      <c r="AM23" s="5">
        <v>0.29658597252178254</v>
      </c>
      <c r="AN23" s="5">
        <v>0.43899385060794194</v>
      </c>
      <c r="AO23" s="5">
        <v>0.60969708497894248</v>
      </c>
      <c r="AP23" s="5">
        <v>0.80108808900659823</v>
      </c>
      <c r="AQ23" s="5">
        <v>1.0068841781156801</v>
      </c>
      <c r="AR23" s="5">
        <v>1.2209056254992963</v>
      </c>
      <c r="AS23" s="5">
        <v>1.4391220236137585</v>
      </c>
      <c r="AT23" s="5">
        <v>1.6594168606854245</v>
      </c>
      <c r="AU23" s="5">
        <v>1.8808103003325187</v>
      </c>
      <c r="AV23" s="5">
        <v>2.1028843772537331</v>
      </c>
      <c r="AW23" s="5">
        <v>2.3254708785905045</v>
      </c>
      <c r="AX23" s="5">
        <v>2.5485051466765714</v>
      </c>
      <c r="AY23" s="5">
        <v>2.7719633941830635</v>
      </c>
      <c r="AZ23" s="5">
        <v>2.9958373613191713</v>
      </c>
      <c r="BA23" s="5">
        <v>3.2203174466525248</v>
      </c>
    </row>
    <row r="24" spans="1:53" x14ac:dyDescent="0.45">
      <c r="E24">
        <v>2</v>
      </c>
      <c r="F24">
        <v>7.9908675799086777E-6</v>
      </c>
      <c r="H24" s="3">
        <v>0</v>
      </c>
      <c r="I24" s="7">
        <v>3.1510235575669155E-5</v>
      </c>
      <c r="J24" s="7">
        <v>9.7407438681440238E-5</v>
      </c>
      <c r="K24" s="7">
        <v>2.5835195017533076E-4</v>
      </c>
      <c r="L24" s="7">
        <v>6.1821282559609738E-4</v>
      </c>
      <c r="M24" s="7">
        <v>1.2158443527236992E-3</v>
      </c>
      <c r="N24" s="7">
        <v>2.1492647928463408E-3</v>
      </c>
      <c r="O24" s="7">
        <v>3.3939675530062718E-3</v>
      </c>
      <c r="P24" s="7">
        <v>4.8749766545112478E-3</v>
      </c>
      <c r="Q24" s="7">
        <v>6.5341440287856696E-3</v>
      </c>
      <c r="R24" s="7">
        <v>8.2728338820949408E-3</v>
      </c>
      <c r="S24" s="7">
        <v>1.003799559789806E-2</v>
      </c>
      <c r="T24" s="7">
        <v>1.1806952712960011E-2</v>
      </c>
      <c r="U24" s="7">
        <v>1.3570969290974811E-2</v>
      </c>
      <c r="V24" s="7">
        <v>1.5326887059105799E-2</v>
      </c>
      <c r="W24" s="7">
        <v>1.7073624174452729E-2</v>
      </c>
      <c r="X24" s="7">
        <v>1.8810838074935485E-2</v>
      </c>
      <c r="Y24" s="7">
        <v>2.053844149060292E-2</v>
      </c>
      <c r="Z24" s="7">
        <v>2.2256433320144736E-2</v>
      </c>
      <c r="AA24" s="7">
        <v>2.3964840970499651E-2</v>
      </c>
      <c r="AB24" s="7">
        <v>2.5663701004217998E-2</v>
      </c>
      <c r="AD24">
        <v>2</v>
      </c>
      <c r="AE24">
        <f t="shared" si="0"/>
        <v>1.7579908675799089E-2</v>
      </c>
      <c r="AG24" s="4"/>
      <c r="AH24" s="5">
        <v>3.6888484703232029E-3</v>
      </c>
      <c r="AI24" s="5">
        <v>1.1445288262971741E-2</v>
      </c>
      <c r="AJ24" s="5">
        <v>3.0467849499626019E-2</v>
      </c>
      <c r="AK24" s="5">
        <v>7.3175131942720378E-2</v>
      </c>
      <c r="AL24" s="5">
        <v>0.14444380864144471</v>
      </c>
      <c r="AM24" s="5">
        <v>0.25627504575845284</v>
      </c>
      <c r="AN24" s="5">
        <v>0.40618092766317454</v>
      </c>
      <c r="AO24" s="5">
        <v>0.58557135971852148</v>
      </c>
      <c r="AP24" s="5">
        <v>0.78775548547851015</v>
      </c>
      <c r="AQ24" s="5">
        <v>1.0010424225597223</v>
      </c>
      <c r="AR24" s="5">
        <v>1.2191036331264959</v>
      </c>
      <c r="AS24" s="5">
        <v>1.4392190353637027</v>
      </c>
      <c r="AT24" s="5">
        <v>1.6603337048607478</v>
      </c>
      <c r="AU24" s="5">
        <v>1.8820619714057512</v>
      </c>
      <c r="AV24" s="5">
        <v>2.1042683627531176</v>
      </c>
      <c r="AW24" s="5">
        <v>2.326906855526286</v>
      </c>
      <c r="AX24" s="5">
        <v>2.5499624498082469</v>
      </c>
      <c r="AY24" s="5">
        <v>2.773430671398986</v>
      </c>
      <c r="AZ24" s="5">
        <v>2.9973105559023612</v>
      </c>
      <c r="BA24" s="5">
        <v>3.2217310041173097</v>
      </c>
    </row>
    <row r="25" spans="1:53" x14ac:dyDescent="0.45">
      <c r="E25">
        <v>1</v>
      </c>
      <c r="F25">
        <v>3.9954337899543389E-6</v>
      </c>
      <c r="H25" s="3">
        <v>0</v>
      </c>
      <c r="I25" s="7">
        <v>5.5747779071130425E-6</v>
      </c>
      <c r="J25" s="7">
        <v>2.0564747700031713E-5</v>
      </c>
      <c r="K25" s="7">
        <v>7.0286333515165542E-5</v>
      </c>
      <c r="L25" s="7">
        <v>2.3871387103299496E-4</v>
      </c>
      <c r="M25" s="7">
        <v>8.1030310199001936E-4</v>
      </c>
      <c r="N25" s="7">
        <v>1.7310183630917801E-3</v>
      </c>
      <c r="O25" s="7">
        <v>3.0468239090034976E-3</v>
      </c>
      <c r="P25" s="7">
        <v>4.712610867931402E-3</v>
      </c>
      <c r="Q25" s="7">
        <v>6.4744576596019168E-3</v>
      </c>
      <c r="R25" s="7">
        <v>8.2575857402433124E-3</v>
      </c>
      <c r="S25" s="7">
        <v>1.0039994406977545E-2</v>
      </c>
      <c r="T25" s="7">
        <v>1.1815231903912838E-2</v>
      </c>
      <c r="U25" s="7">
        <v>1.3581427287325363E-2</v>
      </c>
      <c r="V25" s="7">
        <v>1.533805906536102E-2</v>
      </c>
      <c r="W25" s="7">
        <v>1.7085003196062782E-2</v>
      </c>
      <c r="X25" s="7">
        <v>1.8822252615154092E-2</v>
      </c>
      <c r="Y25" s="7">
        <v>2.054983460552998E-2</v>
      </c>
      <c r="Z25" s="7">
        <v>2.2267786453481479E-2</v>
      </c>
      <c r="AA25" s="7">
        <v>2.3976148276615442E-2</v>
      </c>
      <c r="AB25" s="7">
        <v>2.5674960909559674E-2</v>
      </c>
      <c r="AD25">
        <v>1</v>
      </c>
      <c r="AE25">
        <f t="shared" si="0"/>
        <v>1.8378995433789954E-2</v>
      </c>
      <c r="AG25" s="4"/>
      <c r="AH25" s="5">
        <v>6.5264259070592736E-4</v>
      </c>
      <c r="AI25" s="5">
        <v>2.4163880164681916E-3</v>
      </c>
      <c r="AJ25" s="5">
        <v>8.2891428184347117E-3</v>
      </c>
      <c r="AK25" s="5">
        <v>2.8256075010427768E-2</v>
      </c>
      <c r="AL25" s="5">
        <v>9.6266931009443821E-2</v>
      </c>
      <c r="AM25" s="5">
        <v>0.20640810475429988</v>
      </c>
      <c r="AN25" s="5">
        <v>0.36464299251079013</v>
      </c>
      <c r="AO25" s="5">
        <v>0.56607965089453316</v>
      </c>
      <c r="AP25" s="5">
        <v>0.78057529872985532</v>
      </c>
      <c r="AQ25" s="5">
        <v>0.99921730431395495</v>
      </c>
      <c r="AR25" s="5">
        <v>1.219370745644407</v>
      </c>
      <c r="AS25" s="5">
        <v>1.4402570067019316</v>
      </c>
      <c r="AT25" s="5">
        <v>1.6616463780486534</v>
      </c>
      <c r="AU25" s="5">
        <v>1.8834714616877575</v>
      </c>
      <c r="AV25" s="5">
        <v>2.1057128557277882</v>
      </c>
      <c r="AW25" s="5">
        <v>2.3283653515882228</v>
      </c>
      <c r="AX25" s="5">
        <v>2.5514279385833105</v>
      </c>
      <c r="AY25" s="5">
        <v>2.7749008482822481</v>
      </c>
      <c r="AZ25" s="5">
        <v>2.9987846804700937</v>
      </c>
      <c r="BA25" s="5">
        <v>3.2231445331378024</v>
      </c>
    </row>
    <row r="26" spans="1:53" x14ac:dyDescent="0.45">
      <c r="E26">
        <v>0</v>
      </c>
      <c r="F26">
        <v>0</v>
      </c>
      <c r="H26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1.019387535420857E-3</v>
      </c>
      <c r="O26" s="7">
        <v>2.8455516417189575E-3</v>
      </c>
      <c r="P26" s="7">
        <v>4.6616612431844562E-3</v>
      </c>
      <c r="Q26" s="7">
        <v>6.4677593714106418E-3</v>
      </c>
      <c r="R26" s="7">
        <v>8.2638888888888484E-3</v>
      </c>
      <c r="S26" s="7">
        <v>1.0050092489649165E-2</v>
      </c>
      <c r="T26" s="7">
        <v>1.182641269989837E-2</v>
      </c>
      <c r="U26" s="7">
        <v>1.3592891878656532E-2</v>
      </c>
      <c r="V26" s="7">
        <v>1.5349572218390395E-2</v>
      </c>
      <c r="W26" s="7">
        <v>1.709649574564498E-2</v>
      </c>
      <c r="X26" s="7">
        <v>1.8833704321672085E-2</v>
      </c>
      <c r="Y26" s="7">
        <v>2.0561239643057672E-2</v>
      </c>
      <c r="Z26" s="7">
        <v>2.2279143242345478E-2</v>
      </c>
      <c r="AA26" s="7">
        <v>2.398745648865952E-2</v>
      </c>
      <c r="AB26" s="7">
        <v>2.5686220588322928E-2</v>
      </c>
      <c r="AD26">
        <v>0</v>
      </c>
      <c r="AE26">
        <f t="shared" si="0"/>
        <v>1.9178082191780823E-2</v>
      </c>
      <c r="AG26" s="4"/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0.12155506672710659</v>
      </c>
      <c r="AN26" s="5">
        <v>0.3405615899365827</v>
      </c>
      <c r="AO26" s="5">
        <v>0.55997075947807529</v>
      </c>
      <c r="AP26" s="5">
        <v>0.77978331562204684</v>
      </c>
      <c r="AQ26" s="5">
        <v>0.99999999999999512</v>
      </c>
      <c r="AR26" s="5">
        <v>1.2206215556069389</v>
      </c>
      <c r="AS26" s="5">
        <v>1.4416487268038645</v>
      </c>
      <c r="AT26" s="5">
        <v>1.6630822593202998</v>
      </c>
      <c r="AU26" s="5">
        <v>1.8849229002567931</v>
      </c>
      <c r="AV26" s="5">
        <v>2.1071713980874658</v>
      </c>
      <c r="AW26" s="5">
        <v>2.3298285026624774</v>
      </c>
      <c r="AX26" s="5">
        <v>2.5528949652106494</v>
      </c>
      <c r="AY26" s="5">
        <v>2.7763715383419112</v>
      </c>
      <c r="AZ26" s="5">
        <v>3.0002589760499068</v>
      </c>
      <c r="BA26" s="5">
        <v>3.2245580337144344</v>
      </c>
    </row>
    <row r="27" spans="1:53" x14ac:dyDescent="0.45">
      <c r="G27" t="s">
        <v>18</v>
      </c>
      <c r="H27">
        <v>-0.01</v>
      </c>
      <c r="I27">
        <v>-8.1631750329483419E-3</v>
      </c>
      <c r="J27">
        <v>-6.3263500658966836E-3</v>
      </c>
      <c r="K27">
        <v>-4.4895250988450253E-3</v>
      </c>
      <c r="L27">
        <v>-2.6527001317933675E-3</v>
      </c>
      <c r="M27">
        <v>-8.1587516474170962E-4</v>
      </c>
      <c r="N27">
        <v>1.0209498023099482E-3</v>
      </c>
      <c r="O27">
        <v>2.8577747693616061E-3</v>
      </c>
      <c r="P27">
        <v>4.6945997364132644E-3</v>
      </c>
      <c r="Q27">
        <v>6.5314247034649227E-3</v>
      </c>
      <c r="R27">
        <v>8.368249670516581E-3</v>
      </c>
      <c r="S27">
        <v>1.0205074637568239E-2</v>
      </c>
      <c r="T27">
        <v>1.2041899604619898E-2</v>
      </c>
      <c r="U27">
        <v>1.3878724571671556E-2</v>
      </c>
      <c r="V27">
        <v>1.5715549538723214E-2</v>
      </c>
      <c r="W27">
        <v>1.7552374505774872E-2</v>
      </c>
      <c r="X27">
        <v>1.9389199472826531E-2</v>
      </c>
      <c r="Y27">
        <v>2.1226024439878189E-2</v>
      </c>
      <c r="Z27">
        <v>2.3062849406929847E-2</v>
      </c>
      <c r="AA27">
        <v>2.4899674373981506E-2</v>
      </c>
      <c r="AB27">
        <v>2.6736499341033164E-2</v>
      </c>
      <c r="AF27" t="s">
        <v>23</v>
      </c>
      <c r="AG27">
        <v>117.815930216151</v>
      </c>
      <c r="AH27">
        <v>118.03253633114738</v>
      </c>
      <c r="AI27">
        <v>118.24954067929413</v>
      </c>
      <c r="AJ27">
        <v>118.46694399274807</v>
      </c>
      <c r="AK27">
        <v>118.68474700501207</v>
      </c>
      <c r="AL27">
        <v>118.9029504509376</v>
      </c>
      <c r="AM27">
        <v>119.12155506672708</v>
      </c>
      <c r="AN27">
        <v>119.34056158993657</v>
      </c>
      <c r="AO27">
        <v>119.55997075947806</v>
      </c>
      <c r="AP27">
        <v>119.77978331562204</v>
      </c>
      <c r="AQ27">
        <v>120</v>
      </c>
      <c r="AR27">
        <v>120.22062155560694</v>
      </c>
      <c r="AS27">
        <v>120.44164872680388</v>
      </c>
      <c r="AT27">
        <v>120.6630822593203</v>
      </c>
      <c r="AU27">
        <v>120.8849229002568</v>
      </c>
      <c r="AV27">
        <v>121.10717139808744</v>
      </c>
      <c r="AW27">
        <v>121.32982850266249</v>
      </c>
      <c r="AX27">
        <v>121.55289496521065</v>
      </c>
      <c r="AY27">
        <v>121.77637153834191</v>
      </c>
      <c r="AZ27">
        <v>122.00025897604989</v>
      </c>
      <c r="BA27">
        <v>122.22455803371446</v>
      </c>
    </row>
    <row r="28" spans="1:53" x14ac:dyDescent="0.45">
      <c r="G28" t="s">
        <v>19</v>
      </c>
      <c r="H28">
        <v>0</v>
      </c>
      <c r="I28">
        <v>1</v>
      </c>
      <c r="J28">
        <v>2</v>
      </c>
      <c r="K28">
        <v>3</v>
      </c>
      <c r="L28">
        <v>4</v>
      </c>
      <c r="M28">
        <v>5</v>
      </c>
      <c r="N28">
        <v>6</v>
      </c>
      <c r="O28">
        <v>7</v>
      </c>
      <c r="P28">
        <v>8</v>
      </c>
      <c r="Q28">
        <v>9</v>
      </c>
      <c r="R28">
        <v>10</v>
      </c>
      <c r="S28">
        <v>11</v>
      </c>
      <c r="T28">
        <v>12</v>
      </c>
      <c r="U28">
        <v>13</v>
      </c>
      <c r="V28">
        <v>14</v>
      </c>
      <c r="W28">
        <v>15</v>
      </c>
      <c r="X28">
        <v>16</v>
      </c>
      <c r="Y28">
        <v>17</v>
      </c>
      <c r="Z28">
        <v>18</v>
      </c>
      <c r="AA28">
        <v>19</v>
      </c>
      <c r="AB28">
        <v>20</v>
      </c>
      <c r="AF28" t="s">
        <v>24</v>
      </c>
      <c r="AG28">
        <v>0</v>
      </c>
      <c r="AH28">
        <v>1</v>
      </c>
      <c r="AI28">
        <v>2</v>
      </c>
      <c r="AJ28">
        <v>3</v>
      </c>
      <c r="AK28">
        <v>4</v>
      </c>
      <c r="AL28">
        <v>5</v>
      </c>
      <c r="AM28">
        <v>6</v>
      </c>
      <c r="AN28">
        <v>7</v>
      </c>
      <c r="AO28">
        <v>8</v>
      </c>
      <c r="AP28">
        <v>9</v>
      </c>
      <c r="AQ28">
        <v>10</v>
      </c>
      <c r="AR28">
        <v>11</v>
      </c>
      <c r="AS28">
        <v>12</v>
      </c>
      <c r="AT28">
        <v>13</v>
      </c>
      <c r="AU28">
        <v>14</v>
      </c>
      <c r="AV28">
        <v>15</v>
      </c>
      <c r="AW28">
        <v>16</v>
      </c>
      <c r="AX28">
        <v>17</v>
      </c>
      <c r="AY28">
        <v>18</v>
      </c>
      <c r="AZ28">
        <v>19</v>
      </c>
      <c r="BA28">
        <v>20</v>
      </c>
    </row>
    <row r="36" spans="1:46" x14ac:dyDescent="0.45">
      <c r="AT36" s="6"/>
    </row>
    <row r="40" spans="1:46" x14ac:dyDescent="0.45">
      <c r="A40" t="s">
        <v>26</v>
      </c>
      <c r="B40" t="s">
        <v>27</v>
      </c>
    </row>
    <row r="41" spans="1:46" x14ac:dyDescent="0.45">
      <c r="A41">
        <v>-1</v>
      </c>
      <c r="B41">
        <v>-7.6695474141150891E+20</v>
      </c>
    </row>
    <row r="42" spans="1:46" x14ac:dyDescent="0.45">
      <c r="A42">
        <v>-0.98</v>
      </c>
      <c r="B42">
        <v>-1.3057599270966712E+16</v>
      </c>
    </row>
    <row r="43" spans="1:46" x14ac:dyDescent="0.45">
      <c r="A43">
        <f t="shared" ref="A43:A106" si="1">A42+0.02</f>
        <v>-0.96</v>
      </c>
      <c r="B43">
        <v>-9.995066832530864E+16</v>
      </c>
    </row>
    <row r="44" spans="1:46" x14ac:dyDescent="0.45">
      <c r="A44">
        <f t="shared" si="1"/>
        <v>-0.94</v>
      </c>
      <c r="B44">
        <v>-1.0082223222970199E+18</v>
      </c>
    </row>
    <row r="45" spans="1:46" x14ac:dyDescent="0.45">
      <c r="A45">
        <f t="shared" si="1"/>
        <v>-0.91999999999999993</v>
      </c>
      <c r="B45">
        <v>-1.43009355119034E+19</v>
      </c>
      <c r="H45">
        <f>MIN(B41:B141)</f>
        <v>-5.9566535723103874E+76</v>
      </c>
    </row>
    <row r="46" spans="1:46" x14ac:dyDescent="0.45">
      <c r="A46">
        <f t="shared" si="1"/>
        <v>-0.89999999999999991</v>
      </c>
      <c r="B46">
        <v>-3.1588003879583862E+20</v>
      </c>
      <c r="H46">
        <f>MAX(B41:B141)</f>
        <v>3.102754150069871E+51</v>
      </c>
    </row>
    <row r="47" spans="1:46" x14ac:dyDescent="0.45">
      <c r="A47">
        <f t="shared" si="1"/>
        <v>-0.87999999999999989</v>
      </c>
      <c r="B47">
        <v>-1.2686871613624858E+22</v>
      </c>
    </row>
    <row r="48" spans="1:46" x14ac:dyDescent="0.45">
      <c r="A48">
        <f t="shared" si="1"/>
        <v>-0.85999999999999988</v>
      </c>
      <c r="B48">
        <v>-1.1925974549087461E+24</v>
      </c>
    </row>
    <row r="49" spans="1:25" x14ac:dyDescent="0.45">
      <c r="A49">
        <f t="shared" si="1"/>
        <v>-0.83999999999999986</v>
      </c>
      <c r="B49">
        <v>-4.1294681431108442E+26</v>
      </c>
    </row>
    <row r="50" spans="1:25" x14ac:dyDescent="0.45">
      <c r="A50">
        <f t="shared" si="1"/>
        <v>-0.81999999999999984</v>
      </c>
      <c r="B50">
        <v>-1.3590759383308889E+30</v>
      </c>
      <c r="W50">
        <v>0</v>
      </c>
      <c r="X50">
        <v>0</v>
      </c>
      <c r="Y50">
        <v>0</v>
      </c>
    </row>
    <row r="51" spans="1:25" x14ac:dyDescent="0.45">
      <c r="A51">
        <f t="shared" si="1"/>
        <v>-0.79999999999999982</v>
      </c>
      <c r="B51">
        <v>-5.7217684489918798E+35</v>
      </c>
      <c r="W51">
        <v>0</v>
      </c>
      <c r="X51">
        <v>0</v>
      </c>
      <c r="Y51">
        <v>0</v>
      </c>
    </row>
    <row r="52" spans="1:25" x14ac:dyDescent="0.45">
      <c r="A52">
        <f t="shared" si="1"/>
        <v>-0.7799999999999998</v>
      </c>
      <c r="B52">
        <v>-8.8980285239924544E+49</v>
      </c>
      <c r="W52">
        <v>0</v>
      </c>
      <c r="X52">
        <v>0</v>
      </c>
      <c r="Y52">
        <v>0</v>
      </c>
    </row>
    <row r="53" spans="1:25" x14ac:dyDescent="0.45">
      <c r="A53">
        <f t="shared" si="1"/>
        <v>-0.75999999999999979</v>
      </c>
      <c r="B53">
        <v>-4.1778664670049783E+42</v>
      </c>
      <c r="W53">
        <v>0</v>
      </c>
      <c r="X53">
        <v>0</v>
      </c>
      <c r="Y53">
        <v>0</v>
      </c>
    </row>
    <row r="54" spans="1:25" x14ac:dyDescent="0.45">
      <c r="A54">
        <f t="shared" si="1"/>
        <v>-0.73999999999999977</v>
      </c>
      <c r="B54">
        <v>-6.8511278671672468E+32</v>
      </c>
      <c r="W54">
        <v>0</v>
      </c>
      <c r="X54">
        <v>0</v>
      </c>
      <c r="Y54">
        <v>0</v>
      </c>
    </row>
    <row r="55" spans="1:25" x14ac:dyDescent="0.45">
      <c r="A55">
        <f t="shared" si="1"/>
        <v>-0.71999999999999975</v>
      </c>
      <c r="B55">
        <v>-5.172368341529754E+27</v>
      </c>
      <c r="W55">
        <v>0</v>
      </c>
      <c r="X55">
        <v>0</v>
      </c>
      <c r="Y55">
        <v>0</v>
      </c>
    </row>
    <row r="56" spans="1:25" x14ac:dyDescent="0.45">
      <c r="A56">
        <f t="shared" si="1"/>
        <v>-0.69999999999999973</v>
      </c>
      <c r="B56">
        <v>-1.4772908456464956E+24</v>
      </c>
      <c r="W56">
        <v>0</v>
      </c>
      <c r="X56">
        <v>0</v>
      </c>
      <c r="Y56">
        <v>0</v>
      </c>
    </row>
    <row r="57" spans="1:25" x14ac:dyDescent="0.45">
      <c r="A57">
        <f t="shared" si="1"/>
        <v>-0.67999999999999972</v>
      </c>
      <c r="B57">
        <v>-2.6736306066122405E+21</v>
      </c>
      <c r="W57">
        <v>0</v>
      </c>
      <c r="X57">
        <v>0</v>
      </c>
      <c r="Y57">
        <v>0</v>
      </c>
    </row>
    <row r="58" spans="1:25" x14ac:dyDescent="0.45">
      <c r="A58">
        <f t="shared" si="1"/>
        <v>-0.6599999999999997</v>
      </c>
      <c r="B58">
        <v>-1.9500805553622303E+19</v>
      </c>
      <c r="W58">
        <v>0</v>
      </c>
      <c r="X58">
        <v>0</v>
      </c>
      <c r="Y58">
        <v>0</v>
      </c>
    </row>
    <row r="59" spans="1:25" x14ac:dyDescent="0.45">
      <c r="A59">
        <f t="shared" si="1"/>
        <v>-0.63999999999999968</v>
      </c>
      <c r="B59">
        <v>-7.5170280053116649E+19</v>
      </c>
      <c r="W59">
        <v>0</v>
      </c>
      <c r="X59">
        <v>0</v>
      </c>
      <c r="Y59">
        <v>0</v>
      </c>
    </row>
    <row r="60" spans="1:25" x14ac:dyDescent="0.45">
      <c r="A60">
        <f t="shared" si="1"/>
        <v>-0.61999999999999966</v>
      </c>
      <c r="B60">
        <v>-1.2726994100424467E+31</v>
      </c>
      <c r="W60">
        <v>0</v>
      </c>
      <c r="X60">
        <v>0</v>
      </c>
      <c r="Y60">
        <v>0</v>
      </c>
    </row>
    <row r="61" spans="1:25" x14ac:dyDescent="0.45">
      <c r="A61">
        <f t="shared" si="1"/>
        <v>-0.59999999999999964</v>
      </c>
      <c r="B61">
        <v>3.1583533153626894E+28</v>
      </c>
      <c r="W61">
        <v>0</v>
      </c>
      <c r="X61">
        <v>0</v>
      </c>
      <c r="Y61">
        <v>0</v>
      </c>
    </row>
    <row r="62" spans="1:25" x14ac:dyDescent="0.45">
      <c r="A62">
        <f t="shared" si="1"/>
        <v>-0.57999999999999963</v>
      </c>
      <c r="B62">
        <v>-1.5375133087815264E+25</v>
      </c>
      <c r="W62">
        <v>0</v>
      </c>
      <c r="X62">
        <v>0</v>
      </c>
      <c r="Y62">
        <v>0</v>
      </c>
    </row>
    <row r="63" spans="1:25" x14ac:dyDescent="0.45">
      <c r="A63">
        <f t="shared" si="1"/>
        <v>-0.55999999999999961</v>
      </c>
      <c r="B63">
        <v>-1.0309763128833978E+28</v>
      </c>
      <c r="W63">
        <v>0</v>
      </c>
      <c r="X63">
        <v>0</v>
      </c>
      <c r="Y63">
        <v>0</v>
      </c>
    </row>
    <row r="64" spans="1:25" x14ac:dyDescent="0.45">
      <c r="A64">
        <f t="shared" si="1"/>
        <v>-0.53999999999999959</v>
      </c>
      <c r="B64">
        <v>-1.2206724071395546E+32</v>
      </c>
      <c r="W64">
        <v>0</v>
      </c>
      <c r="X64">
        <v>0</v>
      </c>
      <c r="Y64">
        <v>0</v>
      </c>
    </row>
    <row r="65" spans="1:25" x14ac:dyDescent="0.45">
      <c r="A65">
        <f t="shared" si="1"/>
        <v>-0.51999999999999957</v>
      </c>
      <c r="B65">
        <v>-1.7678239658515711E+39</v>
      </c>
      <c r="W65">
        <v>-0.11727639245697465</v>
      </c>
      <c r="X65">
        <v>0</v>
      </c>
      <c r="Y65">
        <v>0</v>
      </c>
    </row>
    <row r="66" spans="1:25" x14ac:dyDescent="0.45">
      <c r="A66">
        <f t="shared" si="1"/>
        <v>-0.49999999999999956</v>
      </c>
      <c r="B66">
        <v>-5.9566535723103874E+76</v>
      </c>
      <c r="W66">
        <v>1.2345527849139493</v>
      </c>
      <c r="X66">
        <v>-0.11727639245697465</v>
      </c>
      <c r="Y66">
        <v>0</v>
      </c>
    </row>
    <row r="67" spans="1:25" x14ac:dyDescent="0.45">
      <c r="A67">
        <f t="shared" si="1"/>
        <v>-0.47999999999999954</v>
      </c>
      <c r="B67">
        <v>-1.9341856626605719E+38</v>
      </c>
      <c r="W67">
        <v>-0.11727639245697465</v>
      </c>
      <c r="X67">
        <v>1.2345527849139493</v>
      </c>
      <c r="Y67">
        <v>-0.11727639245697465</v>
      </c>
    </row>
    <row r="68" spans="1:25" x14ac:dyDescent="0.45">
      <c r="A68">
        <f t="shared" si="1"/>
        <v>-0.45999999999999952</v>
      </c>
      <c r="B68">
        <v>-9.5509492312926683E+30</v>
      </c>
      <c r="W68">
        <v>0</v>
      </c>
      <c r="X68">
        <v>-0.11727639245697465</v>
      </c>
      <c r="Y68">
        <v>1.2345527849139493</v>
      </c>
    </row>
    <row r="69" spans="1:25" x14ac:dyDescent="0.45">
      <c r="A69">
        <f t="shared" si="1"/>
        <v>-0.4399999999999995</v>
      </c>
      <c r="B69">
        <v>-3.7761616312557108E+26</v>
      </c>
    </row>
    <row r="70" spans="1:25" x14ac:dyDescent="0.45">
      <c r="A70">
        <f t="shared" si="1"/>
        <v>-0.41999999999999948</v>
      </c>
      <c r="B70">
        <v>-6.3217594729652349E+43</v>
      </c>
    </row>
    <row r="71" spans="1:25" x14ac:dyDescent="0.45">
      <c r="A71">
        <f t="shared" si="1"/>
        <v>-0.39999999999999947</v>
      </c>
      <c r="B71">
        <v>7.4766723688333024E+31</v>
      </c>
    </row>
    <row r="72" spans="1:25" x14ac:dyDescent="0.45">
      <c r="A72">
        <f t="shared" si="1"/>
        <v>-0.37999999999999945</v>
      </c>
      <c r="B72">
        <v>3.5042486168271521E+40</v>
      </c>
    </row>
    <row r="73" spans="1:25" x14ac:dyDescent="0.45">
      <c r="A73">
        <f t="shared" si="1"/>
        <v>-0.35999999999999943</v>
      </c>
      <c r="B73">
        <v>3.102754150069871E+51</v>
      </c>
    </row>
    <row r="74" spans="1:25" x14ac:dyDescent="0.45">
      <c r="A74">
        <f t="shared" si="1"/>
        <v>-0.33999999999999941</v>
      </c>
      <c r="B74">
        <v>4.8036721089046461E+34</v>
      </c>
    </row>
    <row r="75" spans="1:25" x14ac:dyDescent="0.45">
      <c r="A75">
        <f t="shared" si="1"/>
        <v>-0.3199999999999994</v>
      </c>
      <c r="B75">
        <v>-5.2681328941376956E+42</v>
      </c>
    </row>
    <row r="76" spans="1:25" x14ac:dyDescent="0.45">
      <c r="A76">
        <f t="shared" si="1"/>
        <v>-0.29999999999999938</v>
      </c>
      <c r="B76">
        <v>1.321357361545939E+46</v>
      </c>
    </row>
    <row r="77" spans="1:25" x14ac:dyDescent="0.45">
      <c r="A77">
        <f t="shared" si="1"/>
        <v>-0.27999999999999936</v>
      </c>
      <c r="B77">
        <v>1.2627252623375102E+45</v>
      </c>
    </row>
    <row r="78" spans="1:25" x14ac:dyDescent="0.45">
      <c r="A78">
        <f t="shared" si="1"/>
        <v>-0.25999999999999934</v>
      </c>
      <c r="B78">
        <v>1.4957040654593471E+42</v>
      </c>
    </row>
    <row r="79" spans="1:25" x14ac:dyDescent="0.45">
      <c r="A79">
        <f t="shared" si="1"/>
        <v>-0.23999999999999935</v>
      </c>
      <c r="B79">
        <v>4.6323103837906008E+47</v>
      </c>
    </row>
    <row r="80" spans="1:25" x14ac:dyDescent="0.45">
      <c r="A80">
        <f t="shared" si="1"/>
        <v>-0.21999999999999936</v>
      </c>
      <c r="B80">
        <v>-5.818521280936908E+56</v>
      </c>
    </row>
    <row r="81" spans="1:2" x14ac:dyDescent="0.45">
      <c r="A81">
        <f t="shared" si="1"/>
        <v>-0.19999999999999937</v>
      </c>
      <c r="B81">
        <v>7.9396634572747575E+41</v>
      </c>
    </row>
    <row r="82" spans="1:2" x14ac:dyDescent="0.45">
      <c r="A82">
        <f>A81+0.02</f>
        <v>-0.17999999999999938</v>
      </c>
      <c r="B82">
        <v>4.8186155992006737E+31</v>
      </c>
    </row>
    <row r="83" spans="1:2" x14ac:dyDescent="0.45">
      <c r="A83">
        <f t="shared" si="1"/>
        <v>-0.15999999999999939</v>
      </c>
      <c r="B83">
        <v>2.6940006740360916E+26</v>
      </c>
    </row>
    <row r="84" spans="1:2" x14ac:dyDescent="0.45">
      <c r="A84">
        <f t="shared" si="1"/>
        <v>-0.1399999999999994</v>
      </c>
      <c r="B84">
        <v>5.8719047992548209E+22</v>
      </c>
    </row>
    <row r="85" spans="1:2" x14ac:dyDescent="0.45">
      <c r="A85">
        <f t="shared" si="1"/>
        <v>-0.1199999999999994</v>
      </c>
      <c r="B85">
        <v>7.491860697171275E+19</v>
      </c>
    </row>
    <row r="86" spans="1:2" x14ac:dyDescent="0.45">
      <c r="A86">
        <f t="shared" si="1"/>
        <v>-9.9999999999999395E-2</v>
      </c>
      <c r="B86">
        <v>2.4694335939682886E+17</v>
      </c>
    </row>
    <row r="87" spans="1:2" x14ac:dyDescent="0.45">
      <c r="A87">
        <f t="shared" si="1"/>
        <v>-7.9999999999999391E-2</v>
      </c>
      <c r="B87">
        <v>1043805251051185.3</v>
      </c>
    </row>
    <row r="88" spans="1:2" x14ac:dyDescent="0.45">
      <c r="A88">
        <f t="shared" si="1"/>
        <v>-5.9999999999999387E-2</v>
      </c>
      <c r="B88">
        <v>-12939652889769.145</v>
      </c>
    </row>
    <row r="89" spans="1:2" x14ac:dyDescent="0.45">
      <c r="A89">
        <f t="shared" si="1"/>
        <v>-3.9999999999999383E-2</v>
      </c>
      <c r="B89">
        <v>-1290751402491.7175</v>
      </c>
    </row>
    <row r="90" spans="1:2" x14ac:dyDescent="0.45">
      <c r="A90">
        <f t="shared" si="1"/>
        <v>-1.9999999999999383E-2</v>
      </c>
      <c r="B90">
        <v>-84933698228.308807</v>
      </c>
    </row>
    <row r="91" spans="1:2" x14ac:dyDescent="0.45">
      <c r="A91">
        <v>0</v>
      </c>
      <c r="B91">
        <v>-5880133835.7987375</v>
      </c>
    </row>
    <row r="92" spans="1:2" x14ac:dyDescent="0.45">
      <c r="A92">
        <f t="shared" si="1"/>
        <v>0.02</v>
      </c>
      <c r="B92">
        <v>-452219306.54137695</v>
      </c>
    </row>
    <row r="93" spans="1:2" x14ac:dyDescent="0.45">
      <c r="A93">
        <f t="shared" si="1"/>
        <v>0.04</v>
      </c>
      <c r="B93">
        <v>-38720807.807898127</v>
      </c>
    </row>
    <row r="94" spans="1:2" x14ac:dyDescent="0.45">
      <c r="A94">
        <f t="shared" si="1"/>
        <v>0.06</v>
      </c>
      <c r="B94">
        <v>-3656730.6783680469</v>
      </c>
    </row>
    <row r="95" spans="1:2" x14ac:dyDescent="0.45">
      <c r="A95">
        <f t="shared" si="1"/>
        <v>0.08</v>
      </c>
      <c r="B95">
        <v>-376399.05613686494</v>
      </c>
    </row>
    <row r="96" spans="1:2" x14ac:dyDescent="0.45">
      <c r="A96">
        <f t="shared" si="1"/>
        <v>0.1</v>
      </c>
      <c r="B96">
        <v>-41737.613680198388</v>
      </c>
    </row>
    <row r="97" spans="1:2" x14ac:dyDescent="0.45">
      <c r="A97">
        <f t="shared" si="1"/>
        <v>0.12000000000000001</v>
      </c>
      <c r="B97">
        <v>-4932.0716077373818</v>
      </c>
    </row>
    <row r="98" spans="1:2" x14ac:dyDescent="0.45">
      <c r="A98">
        <f t="shared" si="1"/>
        <v>0.14000000000000001</v>
      </c>
      <c r="B98">
        <v>-615.02950730067118</v>
      </c>
    </row>
    <row r="99" spans="1:2" x14ac:dyDescent="0.45">
      <c r="A99">
        <f t="shared" si="1"/>
        <v>0.16</v>
      </c>
      <c r="B99">
        <v>-80.224825267865313</v>
      </c>
    </row>
    <row r="100" spans="1:2" x14ac:dyDescent="0.45">
      <c r="A100">
        <f t="shared" si="1"/>
        <v>0.18</v>
      </c>
      <c r="B100">
        <v>-10.865099215668772</v>
      </c>
    </row>
    <row r="101" spans="1:2" x14ac:dyDescent="0.45">
      <c r="A101">
        <f t="shared" si="1"/>
        <v>0.19999999999999998</v>
      </c>
      <c r="B101">
        <v>-1.5233546954737751</v>
      </c>
    </row>
    <row r="102" spans="1:2" x14ac:dyDescent="0.45">
      <c r="A102">
        <f t="shared" si="1"/>
        <v>0.21999999999999997</v>
      </c>
      <c r="B102">
        <v>-0.22642448846711893</v>
      </c>
    </row>
    <row r="103" spans="1:2" x14ac:dyDescent="0.45">
      <c r="A103">
        <f t="shared" si="1"/>
        <v>0.23999999999999996</v>
      </c>
      <c r="B103">
        <v>-4.2185032864764826E-2</v>
      </c>
    </row>
    <row r="104" spans="1:2" x14ac:dyDescent="0.45">
      <c r="A104">
        <f t="shared" si="1"/>
        <v>0.25999999999999995</v>
      </c>
      <c r="B104">
        <v>-1.5660695757848009E-2</v>
      </c>
    </row>
    <row r="105" spans="1:2" x14ac:dyDescent="0.45">
      <c r="A105">
        <f t="shared" si="1"/>
        <v>0.27999999999999997</v>
      </c>
      <c r="B105">
        <v>-1.1897078619454104E-2</v>
      </c>
    </row>
    <row r="106" spans="1:2" x14ac:dyDescent="0.45">
      <c r="A106">
        <f t="shared" si="1"/>
        <v>0.3</v>
      </c>
      <c r="B106">
        <v>-1.1456842421732061E-2</v>
      </c>
    </row>
    <row r="107" spans="1:2" x14ac:dyDescent="0.45">
      <c r="A107">
        <f t="shared" ref="A107:A108" si="2">A106+0.02</f>
        <v>0.32</v>
      </c>
      <c r="B107">
        <v>-1.1504469527574335E-2</v>
      </c>
    </row>
    <row r="108" spans="1:2" x14ac:dyDescent="0.45">
      <c r="A108">
        <f t="shared" si="2"/>
        <v>0.34</v>
      </c>
      <c r="B108">
        <v>-1.1623551402910381E-2</v>
      </c>
    </row>
    <row r="109" spans="1:2" x14ac:dyDescent="0.45">
      <c r="A109">
        <f>A108+0.02</f>
        <v>0.36000000000000004</v>
      </c>
      <c r="B109">
        <v>-1.1752901913002045E-2</v>
      </c>
    </row>
    <row r="110" spans="1:2" x14ac:dyDescent="0.45">
      <c r="A110">
        <f t="shared" ref="A110:A128" si="3">A109+0.02</f>
        <v>0.38000000000000006</v>
      </c>
      <c r="B110">
        <v>-1.1883580588736065E-2</v>
      </c>
    </row>
    <row r="111" spans="1:2" x14ac:dyDescent="0.45">
      <c r="A111">
        <f t="shared" si="3"/>
        <v>0.40000000000000008</v>
      </c>
      <c r="B111">
        <v>-1.2014296232701671E-2</v>
      </c>
    </row>
    <row r="112" spans="1:2" x14ac:dyDescent="0.45">
      <c r="A112">
        <f t="shared" si="3"/>
        <v>0.4200000000000001</v>
      </c>
      <c r="B112">
        <v>-1.2144865362259782E-2</v>
      </c>
    </row>
    <row r="113" spans="1:2" x14ac:dyDescent="0.45">
      <c r="A113">
        <f t="shared" si="3"/>
        <v>0.44000000000000011</v>
      </c>
      <c r="B113">
        <v>-1.2275262091971051E-2</v>
      </c>
    </row>
    <row r="114" spans="1:2" x14ac:dyDescent="0.45">
      <c r="A114">
        <f t="shared" si="3"/>
        <v>0.46000000000000013</v>
      </c>
      <c r="B114">
        <v>-1.2405482410999147E-2</v>
      </c>
    </row>
    <row r="115" spans="1:2" x14ac:dyDescent="0.45">
      <c r="A115">
        <f t="shared" si="3"/>
        <v>0.48000000000000015</v>
      </c>
      <c r="B115">
        <v>-1.2535525253581481E-2</v>
      </c>
    </row>
    <row r="116" spans="1:2" x14ac:dyDescent="0.45">
      <c r="A116">
        <f t="shared" si="3"/>
        <v>0.50000000000000011</v>
      </c>
      <c r="B116">
        <v>-1.2665389941869165E-2</v>
      </c>
    </row>
    <row r="117" spans="1:2" x14ac:dyDescent="0.45">
      <c r="A117">
        <f t="shared" si="3"/>
        <v>0.52000000000000013</v>
      </c>
      <c r="B117">
        <v>-1.2795075854284299E-2</v>
      </c>
    </row>
    <row r="118" spans="1:2" x14ac:dyDescent="0.45">
      <c r="A118">
        <f t="shared" si="3"/>
        <v>0.54000000000000015</v>
      </c>
      <c r="B118">
        <v>-1.2924582384528316E-2</v>
      </c>
    </row>
    <row r="119" spans="1:2" x14ac:dyDescent="0.45">
      <c r="A119">
        <f t="shared" si="3"/>
        <v>0.56000000000000016</v>
      </c>
      <c r="B119">
        <v>-1.3053908936834668E-2</v>
      </c>
    </row>
    <row r="120" spans="1:2" x14ac:dyDescent="0.45">
      <c r="A120">
        <f t="shared" si="3"/>
        <v>0.58000000000000018</v>
      </c>
      <c r="B120">
        <v>-1.3183054925250959E-2</v>
      </c>
    </row>
    <row r="121" spans="1:2" x14ac:dyDescent="0.45">
      <c r="A121">
        <f t="shared" si="3"/>
        <v>0.6000000000000002</v>
      </c>
      <c r="B121">
        <v>-1.3312019773496164E-2</v>
      </c>
    </row>
    <row r="122" spans="1:2" x14ac:dyDescent="0.45">
      <c r="A122">
        <f t="shared" si="3"/>
        <v>0.62000000000000022</v>
      </c>
      <c r="B122">
        <v>-1.3440802914782557E-2</v>
      </c>
    </row>
    <row r="123" spans="1:2" x14ac:dyDescent="0.45">
      <c r="A123">
        <f t="shared" si="3"/>
        <v>0.64000000000000024</v>
      </c>
      <c r="B123">
        <v>-1.3569403791567458E-2</v>
      </c>
    </row>
    <row r="124" spans="1:2" x14ac:dyDescent="0.45">
      <c r="A124">
        <f t="shared" si="3"/>
        <v>0.66000000000000025</v>
      </c>
      <c r="B124">
        <v>-1.3697821855433112E-2</v>
      </c>
    </row>
    <row r="125" spans="1:2" x14ac:dyDescent="0.45">
      <c r="A125">
        <f t="shared" si="3"/>
        <v>0.68000000000000027</v>
      </c>
      <c r="B125">
        <v>-1.3826056566796474E-2</v>
      </c>
    </row>
    <row r="126" spans="1:2" x14ac:dyDescent="0.45">
      <c r="A126">
        <f t="shared" si="3"/>
        <v>0.70000000000000029</v>
      </c>
      <c r="B126">
        <v>-1.3954107394663628E-2</v>
      </c>
    </row>
    <row r="127" spans="1:2" x14ac:dyDescent="0.45">
      <c r="A127">
        <f t="shared" si="3"/>
        <v>0.72000000000000031</v>
      </c>
      <c r="B127">
        <v>-1.4081973816420845E-2</v>
      </c>
    </row>
    <row r="128" spans="1:2" x14ac:dyDescent="0.45">
      <c r="A128">
        <f t="shared" si="3"/>
        <v>0.74000000000000032</v>
      </c>
      <c r="B128">
        <v>-1.4209655317488634E-2</v>
      </c>
    </row>
    <row r="129" spans="1:2" x14ac:dyDescent="0.45">
      <c r="A129">
        <f>A128+0.02</f>
        <v>0.76000000000000034</v>
      </c>
      <c r="B129">
        <v>-1.4337151391121461E-2</v>
      </c>
    </row>
    <row r="130" spans="1:2" x14ac:dyDescent="0.45">
      <c r="A130">
        <f t="shared" ref="A130:A138" si="4">A129+0.02</f>
        <v>0.78000000000000036</v>
      </c>
      <c r="B130">
        <v>-1.4464461538069351E-2</v>
      </c>
    </row>
    <row r="131" spans="1:2" x14ac:dyDescent="0.45">
      <c r="A131">
        <f t="shared" si="4"/>
        <v>0.80000000000000038</v>
      </c>
      <c r="B131">
        <v>-1.4591585266229501E-2</v>
      </c>
    </row>
    <row r="132" spans="1:2" x14ac:dyDescent="0.45">
      <c r="A132">
        <f t="shared" si="4"/>
        <v>0.8200000000000004</v>
      </c>
      <c r="B132">
        <v>-1.4718522090447106E-2</v>
      </c>
    </row>
    <row r="133" spans="1:2" x14ac:dyDescent="0.45">
      <c r="A133">
        <f t="shared" si="4"/>
        <v>0.84000000000000041</v>
      </c>
      <c r="B133">
        <v>-1.4845271532118565E-2</v>
      </c>
    </row>
    <row r="134" spans="1:2" x14ac:dyDescent="0.45">
      <c r="A134">
        <f t="shared" si="4"/>
        <v>0.86000000000000043</v>
      </c>
      <c r="B134">
        <v>-1.4971833118866407E-2</v>
      </c>
    </row>
    <row r="135" spans="1:2" x14ac:dyDescent="0.45">
      <c r="A135">
        <f t="shared" si="4"/>
        <v>0.88000000000000045</v>
      </c>
      <c r="B135">
        <v>-1.509820638429793E-2</v>
      </c>
    </row>
    <row r="136" spans="1:2" x14ac:dyDescent="0.45">
      <c r="A136">
        <f t="shared" si="4"/>
        <v>0.90000000000000047</v>
      </c>
      <c r="B136">
        <v>-1.5224390867613513E-2</v>
      </c>
    </row>
    <row r="137" spans="1:2" x14ac:dyDescent="0.45">
      <c r="A137">
        <f t="shared" si="4"/>
        <v>0.92000000000000048</v>
      </c>
      <c r="B137">
        <v>-1.5350386113305969E-2</v>
      </c>
    </row>
    <row r="138" spans="1:2" x14ac:dyDescent="0.45">
      <c r="A138">
        <f t="shared" si="4"/>
        <v>0.9400000000000005</v>
      </c>
      <c r="B138">
        <v>-1.5476191670870332E-2</v>
      </c>
    </row>
    <row r="139" spans="1:2" x14ac:dyDescent="0.45">
      <c r="A139">
        <f>A138+0.02</f>
        <v>0.96000000000000052</v>
      </c>
      <c r="B139">
        <v>-1.5601807094480336E-2</v>
      </c>
    </row>
    <row r="140" spans="1:2" x14ac:dyDescent="0.45">
      <c r="A140">
        <f t="shared" ref="A140:A141" si="5">A139+0.02</f>
        <v>0.98000000000000054</v>
      </c>
      <c r="B140">
        <v>-1.5727231942678666E-2</v>
      </c>
    </row>
    <row r="141" spans="1:2" x14ac:dyDescent="0.45">
      <c r="A141">
        <f t="shared" si="5"/>
        <v>1.0000000000000004</v>
      </c>
      <c r="B141">
        <v>-1.5852465778095404E-2</v>
      </c>
    </row>
  </sheetData>
  <pageMargins left="0.7" right="0.7" top="0.75" bottom="0.75" header="0.3" footer="0.3"/>
  <pageSetup orientation="portrait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 sizeWithCells="1">
                  <from>
                    <xdr:col>2</xdr:col>
                    <xdr:colOff>333375</xdr:colOff>
                    <xdr:row>4</xdr:row>
                    <xdr:rowOff>0</xdr:rowOff>
                  </from>
                  <to>
                    <xdr:col>3</xdr:col>
                    <xdr:colOff>314325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DEDiscrepancy">
                <anchor moveWithCells="1" sizeWithCells="1">
                  <from>
                    <xdr:col>2</xdr:col>
                    <xdr:colOff>361950</xdr:colOff>
                    <xdr:row>6</xdr:row>
                    <xdr:rowOff>157163</xdr:rowOff>
                  </from>
                  <to>
                    <xdr:col>3</xdr:col>
                    <xdr:colOff>738188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2019-12-30T13:42:38Z</dcterms:modified>
</cp:coreProperties>
</file>